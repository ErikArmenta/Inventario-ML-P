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8379228-B1BD-496A-875A-7B51765DDE68}" xr6:coauthVersionLast="47" xr6:coauthVersionMax="47" xr10:uidLastSave="{00000000-0000-0000-0000-000000000000}"/>
  <bookViews>
    <workbookView xWindow="28680" yWindow="-120" windowWidth="29040" windowHeight="15720" xr2:uid="{6DD1727B-1154-4F1C-9B23-32BAB5AE9D39}"/>
  </bookViews>
  <sheets>
    <sheet name="Inventario sem 23" sheetId="1" r:id="rId1"/>
  </sheets>
  <externalReferences>
    <externalReference r:id="rId2"/>
  </externalReferences>
  <definedNames>
    <definedName name="_xlnm._FilterDatabase" localSheetId="0" hidden="1">'Inventario sem 23'!$A$1:$AE$164</definedName>
    <definedName name="miFila" localSheetId="0">#REF!</definedName>
    <definedName name="miFil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" l="1"/>
  <c r="AD2" i="1"/>
  <c r="AC2" i="1"/>
  <c r="A2" i="1"/>
  <c r="E2" i="1"/>
  <c r="F2" i="1"/>
  <c r="G2" i="1"/>
  <c r="H2" i="1"/>
  <c r="I2" i="1"/>
  <c r="AA2" i="1" s="1"/>
  <c r="J2" i="1"/>
  <c r="K2" i="1"/>
  <c r="Y2" i="1" s="1"/>
  <c r="M2" i="1"/>
  <c r="N2" i="1"/>
  <c r="O2" i="1"/>
  <c r="P2" i="1"/>
  <c r="Q2" i="1"/>
  <c r="A3" i="1"/>
  <c r="E3" i="1"/>
  <c r="F3" i="1"/>
  <c r="G3" i="1"/>
  <c r="H3" i="1"/>
  <c r="I3" i="1"/>
  <c r="AA3" i="1" s="1"/>
  <c r="J3" i="1"/>
  <c r="K3" i="1"/>
  <c r="M3" i="1"/>
  <c r="T3" i="1" s="1"/>
  <c r="N3" i="1"/>
  <c r="U3" i="1" s="1"/>
  <c r="O3" i="1"/>
  <c r="V3" i="1" s="1"/>
  <c r="P3" i="1"/>
  <c r="W3" i="1" s="1"/>
  <c r="Q3" i="1"/>
  <c r="X3" i="1" s="1"/>
  <c r="Y3" i="1"/>
  <c r="AB3" i="1"/>
  <c r="A4" i="1"/>
  <c r="E4" i="1"/>
  <c r="F4" i="1"/>
  <c r="G4" i="1"/>
  <c r="H4" i="1"/>
  <c r="J4" i="1"/>
  <c r="K4" i="1"/>
  <c r="Y4" i="1" s="1"/>
  <c r="M4" i="1"/>
  <c r="T4" i="1" s="1"/>
  <c r="N4" i="1"/>
  <c r="O4" i="1"/>
  <c r="V4" i="1" s="1"/>
  <c r="P4" i="1"/>
  <c r="W4" i="1" s="1"/>
  <c r="Q4" i="1"/>
  <c r="AA4" i="1"/>
  <c r="A5" i="1"/>
  <c r="E5" i="1"/>
  <c r="F5" i="1"/>
  <c r="G5" i="1"/>
  <c r="H5" i="1"/>
  <c r="I5" i="1"/>
  <c r="AA5" i="1" s="1"/>
  <c r="J5" i="1"/>
  <c r="K5" i="1"/>
  <c r="Y5" i="1" s="1"/>
  <c r="M5" i="1"/>
  <c r="N5" i="1"/>
  <c r="U5" i="1" s="1"/>
  <c r="O5" i="1"/>
  <c r="P5" i="1"/>
  <c r="Q5" i="1"/>
  <c r="A6" i="1"/>
  <c r="E6" i="1"/>
  <c r="F6" i="1"/>
  <c r="G6" i="1"/>
  <c r="H6" i="1"/>
  <c r="I6" i="1"/>
  <c r="AA6" i="1" s="1"/>
  <c r="J6" i="1"/>
  <c r="K6" i="1"/>
  <c r="M6" i="1"/>
  <c r="N6" i="1"/>
  <c r="O6" i="1"/>
  <c r="P6" i="1"/>
  <c r="Q6" i="1"/>
  <c r="A7" i="1"/>
  <c r="E7" i="1"/>
  <c r="F7" i="1"/>
  <c r="G7" i="1"/>
  <c r="H7" i="1"/>
  <c r="I7" i="1"/>
  <c r="AA7" i="1" s="1"/>
  <c r="J7" i="1"/>
  <c r="K7" i="1"/>
  <c r="M7" i="1"/>
  <c r="N7" i="1"/>
  <c r="O7" i="1"/>
  <c r="P7" i="1"/>
  <c r="Q7" i="1"/>
  <c r="A8" i="1"/>
  <c r="E8" i="1"/>
  <c r="F8" i="1"/>
  <c r="G8" i="1"/>
  <c r="H8" i="1"/>
  <c r="I8" i="1"/>
  <c r="AA8" i="1" s="1"/>
  <c r="J8" i="1"/>
  <c r="K8" i="1"/>
  <c r="Y8" i="1" s="1"/>
  <c r="M8" i="1"/>
  <c r="N8" i="1"/>
  <c r="O8" i="1"/>
  <c r="P8" i="1"/>
  <c r="Q8" i="1"/>
  <c r="A9" i="1"/>
  <c r="E9" i="1"/>
  <c r="F9" i="1"/>
  <c r="G9" i="1"/>
  <c r="H9" i="1"/>
  <c r="I9" i="1"/>
  <c r="AA9" i="1" s="1"/>
  <c r="J9" i="1"/>
  <c r="K9" i="1"/>
  <c r="Y9" i="1" s="1"/>
  <c r="M9" i="1"/>
  <c r="N9" i="1"/>
  <c r="O9" i="1"/>
  <c r="P9" i="1"/>
  <c r="Q9" i="1"/>
  <c r="A10" i="1"/>
  <c r="E10" i="1"/>
  <c r="F10" i="1"/>
  <c r="G10" i="1"/>
  <c r="H10" i="1"/>
  <c r="I10" i="1"/>
  <c r="AA10" i="1" s="1"/>
  <c r="J10" i="1"/>
  <c r="K10" i="1"/>
  <c r="Y10" i="1" s="1"/>
  <c r="M10" i="1"/>
  <c r="T10" i="1" s="1"/>
  <c r="N10" i="1"/>
  <c r="O10" i="1"/>
  <c r="P10" i="1"/>
  <c r="Q10" i="1"/>
  <c r="V10" i="1"/>
  <c r="A11" i="1"/>
  <c r="E11" i="1"/>
  <c r="F11" i="1"/>
  <c r="G11" i="1"/>
  <c r="H11" i="1"/>
  <c r="I11" i="1"/>
  <c r="AA11" i="1" s="1"/>
  <c r="J11" i="1"/>
  <c r="K11" i="1"/>
  <c r="Y11" i="1" s="1"/>
  <c r="M11" i="1"/>
  <c r="N11" i="1"/>
  <c r="O11" i="1"/>
  <c r="P11" i="1"/>
  <c r="Q11" i="1"/>
  <c r="A12" i="1"/>
  <c r="E12" i="1"/>
  <c r="F12" i="1"/>
  <c r="G12" i="1"/>
  <c r="H12" i="1"/>
  <c r="I12" i="1"/>
  <c r="AA12" i="1" s="1"/>
  <c r="J12" i="1"/>
  <c r="K12" i="1"/>
  <c r="M12" i="1"/>
  <c r="N12" i="1"/>
  <c r="O12" i="1"/>
  <c r="P12" i="1"/>
  <c r="Q12" i="1"/>
  <c r="A13" i="1"/>
  <c r="E13" i="1"/>
  <c r="F13" i="1"/>
  <c r="G13" i="1"/>
  <c r="H13" i="1"/>
  <c r="I13" i="1"/>
  <c r="AA13" i="1" s="1"/>
  <c r="J13" i="1"/>
  <c r="K13" i="1"/>
  <c r="M13" i="1"/>
  <c r="N13" i="1"/>
  <c r="O13" i="1"/>
  <c r="P13" i="1"/>
  <c r="Q13" i="1"/>
  <c r="A14" i="1"/>
  <c r="E14" i="1"/>
  <c r="F14" i="1"/>
  <c r="G14" i="1"/>
  <c r="H14" i="1"/>
  <c r="I14" i="1"/>
  <c r="AA14" i="1" s="1"/>
  <c r="J14" i="1"/>
  <c r="K14" i="1"/>
  <c r="M14" i="1"/>
  <c r="N14" i="1"/>
  <c r="O14" i="1"/>
  <c r="P14" i="1"/>
  <c r="Q14" i="1"/>
  <c r="A15" i="1"/>
  <c r="E15" i="1"/>
  <c r="F15" i="1"/>
  <c r="G15" i="1"/>
  <c r="H15" i="1"/>
  <c r="I15" i="1"/>
  <c r="AA15" i="1" s="1"/>
  <c r="J15" i="1"/>
  <c r="K15" i="1"/>
  <c r="Y15" i="1" s="1"/>
  <c r="M15" i="1"/>
  <c r="N15" i="1"/>
  <c r="O15" i="1"/>
  <c r="P15" i="1"/>
  <c r="Q15" i="1"/>
  <c r="A16" i="1"/>
  <c r="E16" i="1"/>
  <c r="F16" i="1"/>
  <c r="G16" i="1"/>
  <c r="H16" i="1"/>
  <c r="I16" i="1"/>
  <c r="AA16" i="1" s="1"/>
  <c r="J16" i="1"/>
  <c r="K16" i="1"/>
  <c r="M16" i="1"/>
  <c r="N16" i="1"/>
  <c r="O16" i="1"/>
  <c r="P16" i="1"/>
  <c r="Q16" i="1"/>
  <c r="A17" i="1"/>
  <c r="E17" i="1"/>
  <c r="F17" i="1"/>
  <c r="G17" i="1"/>
  <c r="H17" i="1"/>
  <c r="I17" i="1"/>
  <c r="AA17" i="1" s="1"/>
  <c r="J17" i="1"/>
  <c r="K17" i="1"/>
  <c r="M17" i="1"/>
  <c r="N17" i="1"/>
  <c r="O17" i="1"/>
  <c r="P17" i="1"/>
  <c r="Q17" i="1"/>
  <c r="A18" i="1"/>
  <c r="E18" i="1"/>
  <c r="F18" i="1"/>
  <c r="G18" i="1"/>
  <c r="H18" i="1"/>
  <c r="I18" i="1"/>
  <c r="AA18" i="1" s="1"/>
  <c r="J18" i="1"/>
  <c r="K18" i="1"/>
  <c r="V18" i="1" s="1"/>
  <c r="M18" i="1"/>
  <c r="N18" i="1"/>
  <c r="O18" i="1"/>
  <c r="P18" i="1"/>
  <c r="Q18" i="1"/>
  <c r="A19" i="1"/>
  <c r="E19" i="1"/>
  <c r="F19" i="1"/>
  <c r="G19" i="1"/>
  <c r="H19" i="1"/>
  <c r="I19" i="1"/>
  <c r="AA19" i="1" s="1"/>
  <c r="J19" i="1"/>
  <c r="K19" i="1"/>
  <c r="Y19" i="1" s="1"/>
  <c r="M19" i="1"/>
  <c r="N19" i="1"/>
  <c r="O19" i="1"/>
  <c r="P19" i="1"/>
  <c r="Q19" i="1"/>
  <c r="A20" i="1"/>
  <c r="E20" i="1"/>
  <c r="F20" i="1"/>
  <c r="G20" i="1"/>
  <c r="H20" i="1"/>
  <c r="I20" i="1"/>
  <c r="AA20" i="1" s="1"/>
  <c r="J20" i="1"/>
  <c r="K20" i="1"/>
  <c r="M20" i="1"/>
  <c r="T20" i="1" s="1"/>
  <c r="N20" i="1"/>
  <c r="O20" i="1"/>
  <c r="P20" i="1"/>
  <c r="Q20" i="1"/>
  <c r="A21" i="1"/>
  <c r="E21" i="1"/>
  <c r="F21" i="1"/>
  <c r="G21" i="1"/>
  <c r="H21" i="1"/>
  <c r="I21" i="1"/>
  <c r="AA21" i="1" s="1"/>
  <c r="J21" i="1"/>
  <c r="K21" i="1"/>
  <c r="Y21" i="1" s="1"/>
  <c r="M21" i="1"/>
  <c r="T21" i="1" s="1"/>
  <c r="N21" i="1"/>
  <c r="U21" i="1" s="1"/>
  <c r="O21" i="1"/>
  <c r="P21" i="1"/>
  <c r="Q21" i="1"/>
  <c r="A22" i="1"/>
  <c r="E22" i="1"/>
  <c r="F22" i="1"/>
  <c r="G22" i="1"/>
  <c r="H22" i="1"/>
  <c r="I22" i="1"/>
  <c r="AA22" i="1" s="1"/>
  <c r="J22" i="1"/>
  <c r="K22" i="1"/>
  <c r="Y22" i="1" s="1"/>
  <c r="M22" i="1"/>
  <c r="N22" i="1"/>
  <c r="O22" i="1"/>
  <c r="P22" i="1"/>
  <c r="Q22" i="1"/>
  <c r="A23" i="1"/>
  <c r="E23" i="1"/>
  <c r="F23" i="1"/>
  <c r="G23" i="1"/>
  <c r="H23" i="1"/>
  <c r="I23" i="1"/>
  <c r="J23" i="1"/>
  <c r="K23" i="1"/>
  <c r="M23" i="1"/>
  <c r="N23" i="1"/>
  <c r="O23" i="1"/>
  <c r="P23" i="1"/>
  <c r="Q23" i="1"/>
  <c r="AA23" i="1"/>
  <c r="A24" i="1"/>
  <c r="E24" i="1"/>
  <c r="F24" i="1"/>
  <c r="G24" i="1"/>
  <c r="H24" i="1"/>
  <c r="I24" i="1"/>
  <c r="AA24" i="1" s="1"/>
  <c r="J24" i="1"/>
  <c r="K24" i="1"/>
  <c r="X24" i="1" s="1"/>
  <c r="M24" i="1"/>
  <c r="T24" i="1" s="1"/>
  <c r="N24" i="1"/>
  <c r="O24" i="1"/>
  <c r="P24" i="1"/>
  <c r="Q24" i="1"/>
  <c r="A25" i="1"/>
  <c r="E25" i="1"/>
  <c r="F25" i="1"/>
  <c r="G25" i="1"/>
  <c r="H25" i="1"/>
  <c r="I25" i="1"/>
  <c r="AA25" i="1" s="1"/>
  <c r="J25" i="1"/>
  <c r="K25" i="1"/>
  <c r="Y25" i="1" s="1"/>
  <c r="M25" i="1"/>
  <c r="N25" i="1"/>
  <c r="U25" i="1" s="1"/>
  <c r="O25" i="1"/>
  <c r="P25" i="1"/>
  <c r="Q25" i="1"/>
  <c r="A26" i="1"/>
  <c r="E26" i="1"/>
  <c r="F26" i="1"/>
  <c r="G26" i="1"/>
  <c r="H26" i="1"/>
  <c r="I26" i="1"/>
  <c r="AA26" i="1" s="1"/>
  <c r="J26" i="1"/>
  <c r="K26" i="1"/>
  <c r="Y26" i="1" s="1"/>
  <c r="M26" i="1"/>
  <c r="N26" i="1"/>
  <c r="O26" i="1"/>
  <c r="P26" i="1"/>
  <c r="Q26" i="1"/>
  <c r="A27" i="1"/>
  <c r="E27" i="1"/>
  <c r="F27" i="1"/>
  <c r="G27" i="1"/>
  <c r="H27" i="1"/>
  <c r="I27" i="1"/>
  <c r="AA27" i="1" s="1"/>
  <c r="J27" i="1"/>
  <c r="K27" i="1"/>
  <c r="Y27" i="1" s="1"/>
  <c r="M27" i="1"/>
  <c r="N27" i="1"/>
  <c r="O27" i="1"/>
  <c r="P27" i="1"/>
  <c r="Q27" i="1"/>
  <c r="A28" i="1"/>
  <c r="E28" i="1"/>
  <c r="F28" i="1"/>
  <c r="G28" i="1"/>
  <c r="H28" i="1"/>
  <c r="I28" i="1"/>
  <c r="AA28" i="1" s="1"/>
  <c r="J28" i="1"/>
  <c r="K28" i="1"/>
  <c r="Y28" i="1" s="1"/>
  <c r="M28" i="1"/>
  <c r="N28" i="1"/>
  <c r="O28" i="1"/>
  <c r="P28" i="1"/>
  <c r="Q28" i="1"/>
  <c r="A29" i="1"/>
  <c r="E29" i="1"/>
  <c r="F29" i="1"/>
  <c r="G29" i="1"/>
  <c r="H29" i="1"/>
  <c r="I29" i="1"/>
  <c r="AA29" i="1" s="1"/>
  <c r="J29" i="1"/>
  <c r="K29" i="1"/>
  <c r="Y29" i="1" s="1"/>
  <c r="M29" i="1"/>
  <c r="N29" i="1"/>
  <c r="O29" i="1"/>
  <c r="P29" i="1"/>
  <c r="Q29" i="1"/>
  <c r="A30" i="1"/>
  <c r="E30" i="1"/>
  <c r="F30" i="1"/>
  <c r="G30" i="1"/>
  <c r="H30" i="1"/>
  <c r="I30" i="1"/>
  <c r="AA30" i="1" s="1"/>
  <c r="J30" i="1"/>
  <c r="K30" i="1"/>
  <c r="Y30" i="1" s="1"/>
  <c r="M30" i="1"/>
  <c r="N30" i="1"/>
  <c r="O30" i="1"/>
  <c r="P30" i="1"/>
  <c r="Q30" i="1"/>
  <c r="A31" i="1"/>
  <c r="E31" i="1"/>
  <c r="F31" i="1"/>
  <c r="G31" i="1"/>
  <c r="H31" i="1"/>
  <c r="I31" i="1"/>
  <c r="AA31" i="1" s="1"/>
  <c r="J31" i="1"/>
  <c r="K31" i="1"/>
  <c r="Y31" i="1" s="1"/>
  <c r="M31" i="1"/>
  <c r="N31" i="1"/>
  <c r="O31" i="1"/>
  <c r="P31" i="1"/>
  <c r="Q31" i="1"/>
  <c r="A32" i="1"/>
  <c r="E32" i="1"/>
  <c r="F32" i="1"/>
  <c r="G32" i="1"/>
  <c r="H32" i="1"/>
  <c r="I32" i="1"/>
  <c r="AA32" i="1" s="1"/>
  <c r="J32" i="1"/>
  <c r="K32" i="1"/>
  <c r="M32" i="1"/>
  <c r="N32" i="1"/>
  <c r="O32" i="1"/>
  <c r="P32" i="1"/>
  <c r="Q32" i="1"/>
  <c r="A33" i="1"/>
  <c r="E33" i="1"/>
  <c r="F33" i="1"/>
  <c r="G33" i="1"/>
  <c r="H33" i="1"/>
  <c r="I33" i="1"/>
  <c r="AA33" i="1" s="1"/>
  <c r="J33" i="1"/>
  <c r="K33" i="1"/>
  <c r="M33" i="1"/>
  <c r="N33" i="1"/>
  <c r="O33" i="1"/>
  <c r="P33" i="1"/>
  <c r="Q33" i="1"/>
  <c r="A34" i="1"/>
  <c r="E34" i="1"/>
  <c r="F34" i="1"/>
  <c r="G34" i="1"/>
  <c r="H34" i="1"/>
  <c r="I34" i="1"/>
  <c r="AA34" i="1" s="1"/>
  <c r="J34" i="1"/>
  <c r="K34" i="1"/>
  <c r="M34" i="1"/>
  <c r="N34" i="1"/>
  <c r="O34" i="1"/>
  <c r="P34" i="1"/>
  <c r="Q34" i="1"/>
  <c r="A35" i="1"/>
  <c r="E35" i="1"/>
  <c r="F35" i="1"/>
  <c r="G35" i="1"/>
  <c r="H35" i="1"/>
  <c r="I35" i="1"/>
  <c r="AA35" i="1" s="1"/>
  <c r="J35" i="1"/>
  <c r="K35" i="1"/>
  <c r="Y35" i="1" s="1"/>
  <c r="M35" i="1"/>
  <c r="N35" i="1"/>
  <c r="O35" i="1"/>
  <c r="V35" i="1" s="1"/>
  <c r="P35" i="1"/>
  <c r="Q35" i="1"/>
  <c r="X35" i="1" s="1"/>
  <c r="W35" i="1"/>
  <c r="A36" i="1"/>
  <c r="E36" i="1"/>
  <c r="F36" i="1"/>
  <c r="G36" i="1"/>
  <c r="H36" i="1"/>
  <c r="I36" i="1"/>
  <c r="AA36" i="1" s="1"/>
  <c r="J36" i="1"/>
  <c r="K36" i="1"/>
  <c r="M36" i="1"/>
  <c r="N36" i="1"/>
  <c r="O36" i="1"/>
  <c r="P36" i="1"/>
  <c r="Q36" i="1"/>
  <c r="A37" i="1"/>
  <c r="E37" i="1"/>
  <c r="F37" i="1"/>
  <c r="G37" i="1"/>
  <c r="H37" i="1"/>
  <c r="I37" i="1"/>
  <c r="AA37" i="1" s="1"/>
  <c r="J37" i="1"/>
  <c r="K37" i="1"/>
  <c r="M37" i="1"/>
  <c r="N37" i="1"/>
  <c r="O37" i="1"/>
  <c r="P37" i="1"/>
  <c r="Q37" i="1"/>
  <c r="A38" i="1"/>
  <c r="E38" i="1"/>
  <c r="F38" i="1"/>
  <c r="G38" i="1"/>
  <c r="H38" i="1"/>
  <c r="I38" i="1"/>
  <c r="AA38" i="1" s="1"/>
  <c r="J38" i="1"/>
  <c r="K38" i="1"/>
  <c r="Y38" i="1" s="1"/>
  <c r="M38" i="1"/>
  <c r="N38" i="1"/>
  <c r="O38" i="1"/>
  <c r="P38" i="1"/>
  <c r="Q38" i="1"/>
  <c r="A39" i="1"/>
  <c r="E39" i="1"/>
  <c r="F39" i="1"/>
  <c r="G39" i="1"/>
  <c r="H39" i="1"/>
  <c r="I39" i="1"/>
  <c r="AA39" i="1" s="1"/>
  <c r="J39" i="1"/>
  <c r="K39" i="1"/>
  <c r="Y39" i="1" s="1"/>
  <c r="M39" i="1"/>
  <c r="N39" i="1"/>
  <c r="O39" i="1"/>
  <c r="P39" i="1"/>
  <c r="Q39" i="1"/>
  <c r="A40" i="1"/>
  <c r="E40" i="1"/>
  <c r="F40" i="1"/>
  <c r="G40" i="1"/>
  <c r="H40" i="1"/>
  <c r="I40" i="1"/>
  <c r="J40" i="1"/>
  <c r="K40" i="1"/>
  <c r="M40" i="1"/>
  <c r="N40" i="1"/>
  <c r="O40" i="1"/>
  <c r="P40" i="1"/>
  <c r="Q40" i="1"/>
  <c r="AA40" i="1"/>
  <c r="A41" i="1"/>
  <c r="E41" i="1"/>
  <c r="F41" i="1"/>
  <c r="G41" i="1"/>
  <c r="H41" i="1"/>
  <c r="I41" i="1"/>
  <c r="AA41" i="1" s="1"/>
  <c r="J41" i="1"/>
  <c r="K41" i="1"/>
  <c r="Y41" i="1" s="1"/>
  <c r="M41" i="1"/>
  <c r="T41" i="1" s="1"/>
  <c r="N41" i="1"/>
  <c r="U41" i="1" s="1"/>
  <c r="O41" i="1"/>
  <c r="P41" i="1"/>
  <c r="W41" i="1" s="1"/>
  <c r="Q41" i="1"/>
  <c r="X41" i="1" s="1"/>
  <c r="A42" i="1"/>
  <c r="E42" i="1"/>
  <c r="F42" i="1"/>
  <c r="G42" i="1"/>
  <c r="H42" i="1"/>
  <c r="I42" i="1"/>
  <c r="AA42" i="1" s="1"/>
  <c r="J42" i="1"/>
  <c r="K42" i="1"/>
  <c r="M42" i="1"/>
  <c r="N42" i="1"/>
  <c r="O42" i="1"/>
  <c r="P42" i="1"/>
  <c r="Q42" i="1"/>
  <c r="V42" i="1"/>
  <c r="Y42" i="1"/>
  <c r="A43" i="1"/>
  <c r="E43" i="1"/>
  <c r="F43" i="1"/>
  <c r="G43" i="1"/>
  <c r="H43" i="1"/>
  <c r="I43" i="1"/>
  <c r="AA43" i="1" s="1"/>
  <c r="J43" i="1"/>
  <c r="K43" i="1"/>
  <c r="M43" i="1"/>
  <c r="N43" i="1"/>
  <c r="O43" i="1"/>
  <c r="V43" i="1" s="1"/>
  <c r="P43" i="1"/>
  <c r="Q43" i="1"/>
  <c r="A44" i="1"/>
  <c r="E44" i="1"/>
  <c r="F44" i="1"/>
  <c r="G44" i="1"/>
  <c r="H44" i="1"/>
  <c r="I44" i="1"/>
  <c r="AA44" i="1" s="1"/>
  <c r="AB44" i="1" s="1"/>
  <c r="J44" i="1"/>
  <c r="K44" i="1"/>
  <c r="Y44" i="1" s="1"/>
  <c r="M44" i="1"/>
  <c r="N44" i="1"/>
  <c r="O44" i="1"/>
  <c r="P44" i="1"/>
  <c r="Q44" i="1"/>
  <c r="A45" i="1"/>
  <c r="E45" i="1"/>
  <c r="F45" i="1"/>
  <c r="G45" i="1"/>
  <c r="H45" i="1"/>
  <c r="I45" i="1"/>
  <c r="AA45" i="1" s="1"/>
  <c r="J45" i="1"/>
  <c r="K45" i="1"/>
  <c r="Y45" i="1" s="1"/>
  <c r="M45" i="1"/>
  <c r="N45" i="1"/>
  <c r="O45" i="1"/>
  <c r="P45" i="1"/>
  <c r="Q45" i="1"/>
  <c r="A46" i="1"/>
  <c r="E46" i="1"/>
  <c r="F46" i="1"/>
  <c r="G46" i="1"/>
  <c r="H46" i="1"/>
  <c r="I46" i="1"/>
  <c r="AA46" i="1" s="1"/>
  <c r="J46" i="1"/>
  <c r="K46" i="1"/>
  <c r="Y46" i="1" s="1"/>
  <c r="M46" i="1"/>
  <c r="N46" i="1"/>
  <c r="U46" i="1" s="1"/>
  <c r="O46" i="1"/>
  <c r="V46" i="1" s="1"/>
  <c r="P46" i="1"/>
  <c r="Q46" i="1"/>
  <c r="A47" i="1"/>
  <c r="E47" i="1"/>
  <c r="F47" i="1"/>
  <c r="G47" i="1"/>
  <c r="H47" i="1"/>
  <c r="I47" i="1"/>
  <c r="AA47" i="1" s="1"/>
  <c r="J47" i="1"/>
  <c r="K47" i="1"/>
  <c r="Y47" i="1" s="1"/>
  <c r="M47" i="1"/>
  <c r="N47" i="1"/>
  <c r="U47" i="1" s="1"/>
  <c r="O47" i="1"/>
  <c r="P47" i="1"/>
  <c r="Q47" i="1"/>
  <c r="A48" i="1"/>
  <c r="E48" i="1"/>
  <c r="F48" i="1"/>
  <c r="G48" i="1"/>
  <c r="H48" i="1"/>
  <c r="I48" i="1"/>
  <c r="AA48" i="1" s="1"/>
  <c r="J48" i="1"/>
  <c r="K48" i="1"/>
  <c r="Y48" i="1" s="1"/>
  <c r="M48" i="1"/>
  <c r="T48" i="1" s="1"/>
  <c r="N48" i="1"/>
  <c r="O48" i="1"/>
  <c r="P48" i="1"/>
  <c r="Q48" i="1"/>
  <c r="A49" i="1"/>
  <c r="E49" i="1"/>
  <c r="F49" i="1"/>
  <c r="G49" i="1"/>
  <c r="H49" i="1"/>
  <c r="I49" i="1"/>
  <c r="AA49" i="1" s="1"/>
  <c r="AB49" i="1" s="1"/>
  <c r="J49" i="1"/>
  <c r="K49" i="1"/>
  <c r="Y49" i="1" s="1"/>
  <c r="M49" i="1"/>
  <c r="N49" i="1"/>
  <c r="U49" i="1" s="1"/>
  <c r="O49" i="1"/>
  <c r="V49" i="1" s="1"/>
  <c r="P49" i="1"/>
  <c r="Q49" i="1"/>
  <c r="X49" i="1" s="1"/>
  <c r="T49" i="1"/>
  <c r="A50" i="1"/>
  <c r="E50" i="1"/>
  <c r="F50" i="1"/>
  <c r="G50" i="1"/>
  <c r="H50" i="1"/>
  <c r="I50" i="1"/>
  <c r="AA50" i="1" s="1"/>
  <c r="J50" i="1"/>
  <c r="K50" i="1"/>
  <c r="Y50" i="1" s="1"/>
  <c r="M50" i="1"/>
  <c r="N50" i="1"/>
  <c r="O50" i="1"/>
  <c r="P50" i="1"/>
  <c r="Q50" i="1"/>
  <c r="A51" i="1"/>
  <c r="E51" i="1"/>
  <c r="F51" i="1"/>
  <c r="G51" i="1"/>
  <c r="H51" i="1"/>
  <c r="I51" i="1"/>
  <c r="AA51" i="1" s="1"/>
  <c r="J51" i="1"/>
  <c r="K51" i="1"/>
  <c r="M51" i="1"/>
  <c r="N51" i="1"/>
  <c r="O51" i="1"/>
  <c r="V51" i="1" s="1"/>
  <c r="P51" i="1"/>
  <c r="W51" i="1" s="1"/>
  <c r="Q51" i="1"/>
  <c r="X51" i="1" s="1"/>
  <c r="Y51" i="1"/>
  <c r="A52" i="1"/>
  <c r="E52" i="1"/>
  <c r="F52" i="1"/>
  <c r="G52" i="1"/>
  <c r="H52" i="1"/>
  <c r="I52" i="1"/>
  <c r="AA52" i="1" s="1"/>
  <c r="J52" i="1"/>
  <c r="K52" i="1"/>
  <c r="Y52" i="1" s="1"/>
  <c r="M52" i="1"/>
  <c r="T52" i="1" s="1"/>
  <c r="N52" i="1"/>
  <c r="O52" i="1"/>
  <c r="P52" i="1"/>
  <c r="Q52" i="1"/>
  <c r="A53" i="1"/>
  <c r="E53" i="1"/>
  <c r="F53" i="1"/>
  <c r="G53" i="1"/>
  <c r="H53" i="1"/>
  <c r="I53" i="1"/>
  <c r="AA53" i="1" s="1"/>
  <c r="J53" i="1"/>
  <c r="K53" i="1"/>
  <c r="M53" i="1"/>
  <c r="N53" i="1"/>
  <c r="O53" i="1"/>
  <c r="P53" i="1"/>
  <c r="Q53" i="1"/>
  <c r="A54" i="1"/>
  <c r="E54" i="1"/>
  <c r="F54" i="1"/>
  <c r="G54" i="1"/>
  <c r="H54" i="1"/>
  <c r="I54" i="1"/>
  <c r="AA54" i="1" s="1"/>
  <c r="J54" i="1"/>
  <c r="K54" i="1"/>
  <c r="M54" i="1"/>
  <c r="N54" i="1"/>
  <c r="U54" i="1" s="1"/>
  <c r="O54" i="1"/>
  <c r="V54" i="1" s="1"/>
  <c r="P54" i="1"/>
  <c r="Q54" i="1"/>
  <c r="A55" i="1"/>
  <c r="E55" i="1"/>
  <c r="F55" i="1"/>
  <c r="G55" i="1"/>
  <c r="H55" i="1"/>
  <c r="I55" i="1"/>
  <c r="J55" i="1"/>
  <c r="K55" i="1"/>
  <c r="W55" i="1" s="1"/>
  <c r="M55" i="1"/>
  <c r="T55" i="1" s="1"/>
  <c r="N55" i="1"/>
  <c r="U55" i="1" s="1"/>
  <c r="O55" i="1"/>
  <c r="P55" i="1"/>
  <c r="Q55" i="1"/>
  <c r="AA55" i="1"/>
  <c r="A56" i="1"/>
  <c r="E56" i="1"/>
  <c r="F56" i="1"/>
  <c r="G56" i="1"/>
  <c r="H56" i="1"/>
  <c r="I56" i="1"/>
  <c r="AA56" i="1" s="1"/>
  <c r="J56" i="1"/>
  <c r="K56" i="1"/>
  <c r="M56" i="1"/>
  <c r="N56" i="1"/>
  <c r="O56" i="1"/>
  <c r="P56" i="1"/>
  <c r="Q56" i="1"/>
  <c r="A57" i="1"/>
  <c r="E57" i="1"/>
  <c r="F57" i="1"/>
  <c r="G57" i="1"/>
  <c r="H57" i="1"/>
  <c r="I57" i="1"/>
  <c r="AA57" i="1" s="1"/>
  <c r="J57" i="1"/>
  <c r="K57" i="1"/>
  <c r="M57" i="1"/>
  <c r="N57" i="1"/>
  <c r="O57" i="1"/>
  <c r="P57" i="1"/>
  <c r="Q57" i="1"/>
  <c r="A58" i="1"/>
  <c r="E58" i="1"/>
  <c r="F58" i="1"/>
  <c r="G58" i="1"/>
  <c r="H58" i="1"/>
  <c r="I58" i="1"/>
  <c r="AA58" i="1" s="1"/>
  <c r="J58" i="1"/>
  <c r="K58" i="1"/>
  <c r="V58" i="1" s="1"/>
  <c r="M58" i="1"/>
  <c r="N58" i="1"/>
  <c r="O58" i="1"/>
  <c r="P58" i="1"/>
  <c r="Q58" i="1"/>
  <c r="A59" i="1"/>
  <c r="E59" i="1"/>
  <c r="F59" i="1"/>
  <c r="G59" i="1"/>
  <c r="H59" i="1"/>
  <c r="I59" i="1"/>
  <c r="AA59" i="1" s="1"/>
  <c r="AB59" i="1" s="1"/>
  <c r="J59" i="1"/>
  <c r="K59" i="1"/>
  <c r="M59" i="1"/>
  <c r="N59" i="1"/>
  <c r="O59" i="1"/>
  <c r="V59" i="1" s="1"/>
  <c r="P59" i="1"/>
  <c r="W59" i="1" s="1"/>
  <c r="Q59" i="1"/>
  <c r="Y59" i="1"/>
  <c r="A60" i="1"/>
  <c r="E60" i="1"/>
  <c r="F60" i="1"/>
  <c r="G60" i="1"/>
  <c r="H60" i="1"/>
  <c r="I60" i="1"/>
  <c r="AA60" i="1" s="1"/>
  <c r="J60" i="1"/>
  <c r="K60" i="1"/>
  <c r="M60" i="1"/>
  <c r="N60" i="1"/>
  <c r="O60" i="1"/>
  <c r="P60" i="1"/>
  <c r="Q60" i="1"/>
  <c r="A61" i="1"/>
  <c r="E61" i="1"/>
  <c r="F61" i="1"/>
  <c r="G61" i="1"/>
  <c r="H61" i="1"/>
  <c r="I61" i="1"/>
  <c r="AA61" i="1" s="1"/>
  <c r="J61" i="1"/>
  <c r="K61" i="1"/>
  <c r="Y61" i="1" s="1"/>
  <c r="M61" i="1"/>
  <c r="T61" i="1" s="1"/>
  <c r="N61" i="1"/>
  <c r="O61" i="1"/>
  <c r="P61" i="1"/>
  <c r="Q61" i="1"/>
  <c r="A62" i="1"/>
  <c r="E62" i="1"/>
  <c r="F62" i="1"/>
  <c r="G62" i="1"/>
  <c r="H62" i="1"/>
  <c r="I62" i="1"/>
  <c r="AA62" i="1" s="1"/>
  <c r="J62" i="1"/>
  <c r="K62" i="1"/>
  <c r="M62" i="1"/>
  <c r="N62" i="1"/>
  <c r="O62" i="1"/>
  <c r="P62" i="1"/>
  <c r="Q62" i="1"/>
  <c r="A63" i="1"/>
  <c r="E63" i="1"/>
  <c r="F63" i="1"/>
  <c r="G63" i="1"/>
  <c r="H63" i="1"/>
  <c r="I63" i="1"/>
  <c r="AA63" i="1" s="1"/>
  <c r="J63" i="1"/>
  <c r="K63" i="1"/>
  <c r="M63" i="1"/>
  <c r="N63" i="1"/>
  <c r="O63" i="1"/>
  <c r="V63" i="1" s="1"/>
  <c r="P63" i="1"/>
  <c r="W63" i="1" s="1"/>
  <c r="Q63" i="1"/>
  <c r="X63" i="1" s="1"/>
  <c r="A64" i="1"/>
  <c r="E64" i="1"/>
  <c r="F64" i="1"/>
  <c r="G64" i="1"/>
  <c r="H64" i="1"/>
  <c r="I64" i="1"/>
  <c r="AA64" i="1" s="1"/>
  <c r="J64" i="1"/>
  <c r="K64" i="1"/>
  <c r="Y64" i="1" s="1"/>
  <c r="M64" i="1"/>
  <c r="T64" i="1" s="1"/>
  <c r="N64" i="1"/>
  <c r="O64" i="1"/>
  <c r="P64" i="1"/>
  <c r="Q64" i="1"/>
  <c r="A65" i="1"/>
  <c r="E65" i="1"/>
  <c r="F65" i="1"/>
  <c r="G65" i="1"/>
  <c r="H65" i="1"/>
  <c r="I65" i="1"/>
  <c r="AA65" i="1" s="1"/>
  <c r="J65" i="1"/>
  <c r="K65" i="1"/>
  <c r="Y65" i="1" s="1"/>
  <c r="M65" i="1"/>
  <c r="N65" i="1"/>
  <c r="O65" i="1"/>
  <c r="P65" i="1"/>
  <c r="Q65" i="1"/>
  <c r="A66" i="1"/>
  <c r="E66" i="1"/>
  <c r="F66" i="1"/>
  <c r="G66" i="1"/>
  <c r="H66" i="1"/>
  <c r="I66" i="1"/>
  <c r="AA66" i="1" s="1"/>
  <c r="J66" i="1"/>
  <c r="K66" i="1"/>
  <c r="M66" i="1"/>
  <c r="N66" i="1"/>
  <c r="O66" i="1"/>
  <c r="V66" i="1" s="1"/>
  <c r="P66" i="1"/>
  <c r="Q66" i="1"/>
  <c r="A67" i="1"/>
  <c r="E67" i="1"/>
  <c r="F67" i="1"/>
  <c r="G67" i="1"/>
  <c r="H67" i="1"/>
  <c r="I67" i="1"/>
  <c r="AA67" i="1" s="1"/>
  <c r="J67" i="1"/>
  <c r="K67" i="1"/>
  <c r="Y67" i="1" s="1"/>
  <c r="M67" i="1"/>
  <c r="N67" i="1"/>
  <c r="O67" i="1"/>
  <c r="V67" i="1" s="1"/>
  <c r="P67" i="1"/>
  <c r="Q67" i="1"/>
  <c r="A68" i="1"/>
  <c r="E68" i="1"/>
  <c r="F68" i="1"/>
  <c r="G68" i="1"/>
  <c r="H68" i="1"/>
  <c r="I68" i="1"/>
  <c r="AA68" i="1" s="1"/>
  <c r="J68" i="1"/>
  <c r="K68" i="1"/>
  <c r="M68" i="1"/>
  <c r="N68" i="1"/>
  <c r="O68" i="1"/>
  <c r="P68" i="1"/>
  <c r="Q68" i="1"/>
  <c r="A69" i="1"/>
  <c r="E69" i="1"/>
  <c r="F69" i="1"/>
  <c r="G69" i="1"/>
  <c r="H69" i="1"/>
  <c r="I69" i="1"/>
  <c r="AA69" i="1" s="1"/>
  <c r="J69" i="1"/>
  <c r="K69" i="1"/>
  <c r="M69" i="1"/>
  <c r="N69" i="1"/>
  <c r="U69" i="1" s="1"/>
  <c r="O69" i="1"/>
  <c r="V69" i="1" s="1"/>
  <c r="P69" i="1"/>
  <c r="W69" i="1" s="1"/>
  <c r="Q69" i="1"/>
  <c r="X69" i="1" s="1"/>
  <c r="Y69" i="1"/>
  <c r="A70" i="1"/>
  <c r="E70" i="1"/>
  <c r="F70" i="1"/>
  <c r="G70" i="1"/>
  <c r="H70" i="1"/>
  <c r="I70" i="1"/>
  <c r="J70" i="1"/>
  <c r="K70" i="1"/>
  <c r="W70" i="1" s="1"/>
  <c r="M70" i="1"/>
  <c r="N70" i="1"/>
  <c r="O70" i="1"/>
  <c r="V70" i="1" s="1"/>
  <c r="P70" i="1"/>
  <c r="Q70" i="1"/>
  <c r="AA70" i="1"/>
  <c r="A71" i="1"/>
  <c r="E71" i="1"/>
  <c r="F71" i="1"/>
  <c r="G71" i="1"/>
  <c r="H71" i="1"/>
  <c r="I71" i="1"/>
  <c r="AA71" i="1" s="1"/>
  <c r="AB71" i="1" s="1"/>
  <c r="J71" i="1"/>
  <c r="K71" i="1"/>
  <c r="M71" i="1"/>
  <c r="N71" i="1"/>
  <c r="U71" i="1" s="1"/>
  <c r="O71" i="1"/>
  <c r="V71" i="1" s="1"/>
  <c r="P71" i="1"/>
  <c r="W71" i="1" s="1"/>
  <c r="Q71" i="1"/>
  <c r="X71" i="1" s="1"/>
  <c r="T71" i="1"/>
  <c r="Y71" i="1"/>
  <c r="A72" i="1"/>
  <c r="E72" i="1"/>
  <c r="F72" i="1"/>
  <c r="G72" i="1"/>
  <c r="H72" i="1"/>
  <c r="I72" i="1"/>
  <c r="AA72" i="1" s="1"/>
  <c r="J72" i="1"/>
  <c r="M72" i="1"/>
  <c r="N72" i="1"/>
  <c r="O72" i="1"/>
  <c r="P72" i="1"/>
  <c r="Q72" i="1"/>
  <c r="A73" i="1"/>
  <c r="E73" i="1"/>
  <c r="F73" i="1"/>
  <c r="G73" i="1"/>
  <c r="H73" i="1"/>
  <c r="I73" i="1"/>
  <c r="AA73" i="1" s="1"/>
  <c r="J73" i="1"/>
  <c r="K73" i="1"/>
  <c r="M73" i="1"/>
  <c r="N73" i="1"/>
  <c r="O73" i="1"/>
  <c r="P73" i="1"/>
  <c r="Q73" i="1"/>
  <c r="A74" i="1"/>
  <c r="E74" i="1"/>
  <c r="F74" i="1"/>
  <c r="G74" i="1"/>
  <c r="H74" i="1"/>
  <c r="I74" i="1"/>
  <c r="AA74" i="1" s="1"/>
  <c r="J74" i="1"/>
  <c r="K74" i="1"/>
  <c r="Y74" i="1" s="1"/>
  <c r="M74" i="1"/>
  <c r="N74" i="1"/>
  <c r="O74" i="1"/>
  <c r="P74" i="1"/>
  <c r="Q74" i="1"/>
  <c r="A75" i="1"/>
  <c r="E75" i="1"/>
  <c r="F75" i="1"/>
  <c r="G75" i="1"/>
  <c r="H75" i="1"/>
  <c r="I75" i="1"/>
  <c r="AA75" i="1" s="1"/>
  <c r="J75" i="1"/>
  <c r="K75" i="1"/>
  <c r="M75" i="1"/>
  <c r="R75" i="1" s="1"/>
  <c r="S75" i="1" s="1"/>
  <c r="N75" i="1"/>
  <c r="O75" i="1"/>
  <c r="V75" i="1" s="1"/>
  <c r="P75" i="1"/>
  <c r="Q75" i="1"/>
  <c r="A76" i="1"/>
  <c r="E76" i="1"/>
  <c r="F76" i="1"/>
  <c r="G76" i="1"/>
  <c r="H76" i="1"/>
  <c r="I76" i="1"/>
  <c r="AA76" i="1" s="1"/>
  <c r="J76" i="1"/>
  <c r="K76" i="1"/>
  <c r="M76" i="1"/>
  <c r="N76" i="1"/>
  <c r="O76" i="1"/>
  <c r="P76" i="1"/>
  <c r="Q76" i="1"/>
  <c r="A77" i="1"/>
  <c r="E77" i="1"/>
  <c r="F77" i="1"/>
  <c r="G77" i="1"/>
  <c r="H77" i="1"/>
  <c r="I77" i="1"/>
  <c r="AA77" i="1" s="1"/>
  <c r="J77" i="1"/>
  <c r="K77" i="1"/>
  <c r="Y77" i="1" s="1"/>
  <c r="M77" i="1"/>
  <c r="N77" i="1"/>
  <c r="U77" i="1" s="1"/>
  <c r="O77" i="1"/>
  <c r="P77" i="1"/>
  <c r="Q77" i="1"/>
  <c r="A78" i="1"/>
  <c r="E78" i="1"/>
  <c r="F78" i="1"/>
  <c r="G78" i="1"/>
  <c r="H78" i="1"/>
  <c r="I78" i="1"/>
  <c r="AA78" i="1" s="1"/>
  <c r="J78" i="1"/>
  <c r="K78" i="1"/>
  <c r="V78" i="1" s="1"/>
  <c r="M78" i="1"/>
  <c r="N78" i="1"/>
  <c r="O78" i="1"/>
  <c r="P78" i="1"/>
  <c r="Q78" i="1"/>
  <c r="Y78" i="1"/>
  <c r="A79" i="1"/>
  <c r="E79" i="1"/>
  <c r="F79" i="1"/>
  <c r="G79" i="1"/>
  <c r="H79" i="1"/>
  <c r="I79" i="1"/>
  <c r="AA79" i="1" s="1"/>
  <c r="J79" i="1"/>
  <c r="K79" i="1"/>
  <c r="M79" i="1"/>
  <c r="N79" i="1"/>
  <c r="O79" i="1"/>
  <c r="P79" i="1"/>
  <c r="Q79" i="1"/>
  <c r="AB79" i="1"/>
  <c r="A80" i="1"/>
  <c r="E80" i="1"/>
  <c r="F80" i="1"/>
  <c r="G80" i="1"/>
  <c r="H80" i="1"/>
  <c r="I80" i="1"/>
  <c r="AA80" i="1" s="1"/>
  <c r="J80" i="1"/>
  <c r="K80" i="1"/>
  <c r="M80" i="1"/>
  <c r="N80" i="1"/>
  <c r="O80" i="1"/>
  <c r="P80" i="1"/>
  <c r="Q80" i="1"/>
  <c r="A81" i="1"/>
  <c r="E81" i="1"/>
  <c r="F81" i="1"/>
  <c r="G81" i="1"/>
  <c r="H81" i="1"/>
  <c r="I81" i="1"/>
  <c r="AA81" i="1" s="1"/>
  <c r="J81" i="1"/>
  <c r="K81" i="1"/>
  <c r="Y81" i="1" s="1"/>
  <c r="M81" i="1"/>
  <c r="N81" i="1"/>
  <c r="O81" i="1"/>
  <c r="P81" i="1"/>
  <c r="Q81" i="1"/>
  <c r="A82" i="1"/>
  <c r="E82" i="1"/>
  <c r="F82" i="1"/>
  <c r="G82" i="1"/>
  <c r="H82" i="1"/>
  <c r="I82" i="1"/>
  <c r="AA82" i="1" s="1"/>
  <c r="J82" i="1"/>
  <c r="K82" i="1"/>
  <c r="Y82" i="1" s="1"/>
  <c r="M82" i="1"/>
  <c r="N82" i="1"/>
  <c r="O82" i="1"/>
  <c r="V82" i="1" s="1"/>
  <c r="P82" i="1"/>
  <c r="W82" i="1" s="1"/>
  <c r="Q82" i="1"/>
  <c r="X82" i="1" s="1"/>
  <c r="A83" i="1"/>
  <c r="E83" i="1"/>
  <c r="F83" i="1"/>
  <c r="G83" i="1"/>
  <c r="H83" i="1"/>
  <c r="I83" i="1"/>
  <c r="AA83" i="1" s="1"/>
  <c r="J83" i="1"/>
  <c r="K83" i="1"/>
  <c r="M83" i="1"/>
  <c r="N83" i="1"/>
  <c r="O83" i="1"/>
  <c r="P83" i="1"/>
  <c r="Q83" i="1"/>
  <c r="A84" i="1"/>
  <c r="E84" i="1"/>
  <c r="F84" i="1"/>
  <c r="G84" i="1"/>
  <c r="H84" i="1"/>
  <c r="I84" i="1"/>
  <c r="AA84" i="1" s="1"/>
  <c r="AB84" i="1" s="1"/>
  <c r="J84" i="1"/>
  <c r="K84" i="1"/>
  <c r="M84" i="1"/>
  <c r="N84" i="1"/>
  <c r="O84" i="1"/>
  <c r="P84" i="1"/>
  <c r="Q84" i="1"/>
  <c r="A85" i="1"/>
  <c r="E85" i="1"/>
  <c r="F85" i="1"/>
  <c r="G85" i="1"/>
  <c r="H85" i="1"/>
  <c r="I85" i="1"/>
  <c r="AA85" i="1" s="1"/>
  <c r="J85" i="1"/>
  <c r="K85" i="1"/>
  <c r="Y85" i="1" s="1"/>
  <c r="M85" i="1"/>
  <c r="N85" i="1"/>
  <c r="U85" i="1" s="1"/>
  <c r="O85" i="1"/>
  <c r="V85" i="1" s="1"/>
  <c r="P85" i="1"/>
  <c r="W85" i="1" s="1"/>
  <c r="Q85" i="1"/>
  <c r="A86" i="1"/>
  <c r="E86" i="1"/>
  <c r="F86" i="1"/>
  <c r="G86" i="1"/>
  <c r="H86" i="1"/>
  <c r="I86" i="1"/>
  <c r="AA86" i="1" s="1"/>
  <c r="J86" i="1"/>
  <c r="K86" i="1"/>
  <c r="Y86" i="1" s="1"/>
  <c r="M86" i="1"/>
  <c r="N86" i="1"/>
  <c r="O86" i="1"/>
  <c r="P86" i="1"/>
  <c r="Q86" i="1"/>
  <c r="A87" i="1"/>
  <c r="E87" i="1"/>
  <c r="F87" i="1"/>
  <c r="G87" i="1"/>
  <c r="H87" i="1"/>
  <c r="I87" i="1"/>
  <c r="AA87" i="1" s="1"/>
  <c r="J87" i="1"/>
  <c r="K87" i="1"/>
  <c r="M87" i="1"/>
  <c r="N87" i="1"/>
  <c r="O87" i="1"/>
  <c r="P87" i="1"/>
  <c r="Q87" i="1"/>
  <c r="U87" i="1"/>
  <c r="A88" i="1"/>
  <c r="E88" i="1"/>
  <c r="F88" i="1"/>
  <c r="G88" i="1"/>
  <c r="H88" i="1"/>
  <c r="I88" i="1"/>
  <c r="AA88" i="1" s="1"/>
  <c r="J88" i="1"/>
  <c r="K88" i="1"/>
  <c r="M88" i="1"/>
  <c r="N88" i="1"/>
  <c r="O88" i="1"/>
  <c r="P88" i="1"/>
  <c r="Q88" i="1"/>
  <c r="A89" i="1"/>
  <c r="E89" i="1"/>
  <c r="F89" i="1"/>
  <c r="G89" i="1"/>
  <c r="H89" i="1"/>
  <c r="I89" i="1"/>
  <c r="AA89" i="1" s="1"/>
  <c r="J89" i="1"/>
  <c r="K89" i="1"/>
  <c r="Y89" i="1" s="1"/>
  <c r="M89" i="1"/>
  <c r="N89" i="1"/>
  <c r="U89" i="1" s="1"/>
  <c r="O89" i="1"/>
  <c r="P89" i="1"/>
  <c r="Q89" i="1"/>
  <c r="A90" i="1"/>
  <c r="E90" i="1"/>
  <c r="F90" i="1"/>
  <c r="G90" i="1"/>
  <c r="H90" i="1"/>
  <c r="I90" i="1"/>
  <c r="AA90" i="1" s="1"/>
  <c r="AB90" i="1" s="1"/>
  <c r="J90" i="1"/>
  <c r="K90" i="1"/>
  <c r="Y90" i="1" s="1"/>
  <c r="M90" i="1"/>
  <c r="N90" i="1"/>
  <c r="U90" i="1" s="1"/>
  <c r="O90" i="1"/>
  <c r="V90" i="1" s="1"/>
  <c r="P90" i="1"/>
  <c r="W90" i="1" s="1"/>
  <c r="Q90" i="1"/>
  <c r="A91" i="1"/>
  <c r="E91" i="1"/>
  <c r="F91" i="1"/>
  <c r="G91" i="1"/>
  <c r="H91" i="1"/>
  <c r="I91" i="1"/>
  <c r="AA91" i="1" s="1"/>
  <c r="J91" i="1"/>
  <c r="K91" i="1"/>
  <c r="M91" i="1"/>
  <c r="N91" i="1"/>
  <c r="U91" i="1" s="1"/>
  <c r="O91" i="1"/>
  <c r="P91" i="1"/>
  <c r="Q91" i="1"/>
  <c r="A92" i="1"/>
  <c r="E92" i="1"/>
  <c r="F92" i="1"/>
  <c r="G92" i="1"/>
  <c r="H92" i="1"/>
  <c r="I92" i="1"/>
  <c r="AA92" i="1" s="1"/>
  <c r="J92" i="1"/>
  <c r="K92" i="1"/>
  <c r="Y92" i="1" s="1"/>
  <c r="M92" i="1"/>
  <c r="N92" i="1"/>
  <c r="U92" i="1" s="1"/>
  <c r="O92" i="1"/>
  <c r="P92" i="1"/>
  <c r="Q92" i="1"/>
  <c r="A93" i="1"/>
  <c r="E93" i="1"/>
  <c r="F93" i="1"/>
  <c r="G93" i="1"/>
  <c r="H93" i="1"/>
  <c r="I93" i="1"/>
  <c r="AA93" i="1" s="1"/>
  <c r="J93" i="1"/>
  <c r="K93" i="1"/>
  <c r="Y93" i="1" s="1"/>
  <c r="M93" i="1"/>
  <c r="N93" i="1"/>
  <c r="O93" i="1"/>
  <c r="P93" i="1"/>
  <c r="Q93" i="1"/>
  <c r="A94" i="1"/>
  <c r="E94" i="1"/>
  <c r="F94" i="1"/>
  <c r="G94" i="1"/>
  <c r="H94" i="1"/>
  <c r="I94" i="1"/>
  <c r="AA94" i="1" s="1"/>
  <c r="J94" i="1"/>
  <c r="K94" i="1"/>
  <c r="Y94" i="1" s="1"/>
  <c r="M94" i="1"/>
  <c r="N94" i="1"/>
  <c r="U94" i="1" s="1"/>
  <c r="O94" i="1"/>
  <c r="V94" i="1" s="1"/>
  <c r="P94" i="1"/>
  <c r="W94" i="1" s="1"/>
  <c r="Q94" i="1"/>
  <c r="X94" i="1" s="1"/>
  <c r="A95" i="1"/>
  <c r="E95" i="1"/>
  <c r="F95" i="1"/>
  <c r="G95" i="1"/>
  <c r="H95" i="1"/>
  <c r="I95" i="1"/>
  <c r="AA95" i="1" s="1"/>
  <c r="J95" i="1"/>
  <c r="K95" i="1"/>
  <c r="M95" i="1"/>
  <c r="N95" i="1"/>
  <c r="O95" i="1"/>
  <c r="P95" i="1"/>
  <c r="Q95" i="1"/>
  <c r="A96" i="1"/>
  <c r="E96" i="1"/>
  <c r="F96" i="1"/>
  <c r="G96" i="1"/>
  <c r="H96" i="1"/>
  <c r="I96" i="1"/>
  <c r="AA96" i="1" s="1"/>
  <c r="J96" i="1"/>
  <c r="K96" i="1"/>
  <c r="M96" i="1"/>
  <c r="N96" i="1"/>
  <c r="O96" i="1"/>
  <c r="P96" i="1"/>
  <c r="Q96" i="1"/>
  <c r="A97" i="1"/>
  <c r="E97" i="1"/>
  <c r="F97" i="1"/>
  <c r="G97" i="1"/>
  <c r="H97" i="1"/>
  <c r="I97" i="1"/>
  <c r="AA97" i="1" s="1"/>
  <c r="J97" i="1"/>
  <c r="K97" i="1"/>
  <c r="M97" i="1"/>
  <c r="N97" i="1"/>
  <c r="O97" i="1"/>
  <c r="P97" i="1"/>
  <c r="Q97" i="1"/>
  <c r="A98" i="1"/>
  <c r="E98" i="1"/>
  <c r="F98" i="1"/>
  <c r="G98" i="1"/>
  <c r="H98" i="1"/>
  <c r="I98" i="1"/>
  <c r="AA98" i="1" s="1"/>
  <c r="J98" i="1"/>
  <c r="K98" i="1"/>
  <c r="Y98" i="1" s="1"/>
  <c r="M98" i="1"/>
  <c r="N98" i="1"/>
  <c r="O98" i="1"/>
  <c r="P98" i="1"/>
  <c r="Q98" i="1"/>
  <c r="A99" i="1"/>
  <c r="E99" i="1"/>
  <c r="F99" i="1"/>
  <c r="G99" i="1"/>
  <c r="H99" i="1"/>
  <c r="I99" i="1"/>
  <c r="AA99" i="1" s="1"/>
  <c r="J99" i="1"/>
  <c r="K99" i="1"/>
  <c r="Y99" i="1" s="1"/>
  <c r="M99" i="1"/>
  <c r="T99" i="1" s="1"/>
  <c r="N99" i="1"/>
  <c r="O99" i="1"/>
  <c r="P99" i="1"/>
  <c r="Q99" i="1"/>
  <c r="A100" i="1"/>
  <c r="E100" i="1"/>
  <c r="F100" i="1"/>
  <c r="G100" i="1"/>
  <c r="H100" i="1"/>
  <c r="I100" i="1"/>
  <c r="AA100" i="1" s="1"/>
  <c r="AB100" i="1" s="1"/>
  <c r="J100" i="1"/>
  <c r="K100" i="1"/>
  <c r="Y100" i="1" s="1"/>
  <c r="M100" i="1"/>
  <c r="T100" i="1" s="1"/>
  <c r="N100" i="1"/>
  <c r="U100" i="1" s="1"/>
  <c r="O100" i="1"/>
  <c r="V100" i="1" s="1"/>
  <c r="P100" i="1"/>
  <c r="Q100" i="1"/>
  <c r="X100" i="1" s="1"/>
  <c r="A101" i="1"/>
  <c r="E101" i="1"/>
  <c r="F101" i="1"/>
  <c r="G101" i="1"/>
  <c r="H101" i="1"/>
  <c r="I101" i="1"/>
  <c r="AA101" i="1" s="1"/>
  <c r="J101" i="1"/>
  <c r="K101" i="1"/>
  <c r="M101" i="1"/>
  <c r="N101" i="1"/>
  <c r="O101" i="1"/>
  <c r="P101" i="1"/>
  <c r="Q101" i="1"/>
  <c r="A102" i="1"/>
  <c r="E102" i="1"/>
  <c r="F102" i="1"/>
  <c r="G102" i="1"/>
  <c r="H102" i="1"/>
  <c r="I102" i="1"/>
  <c r="AA102" i="1" s="1"/>
  <c r="J102" i="1"/>
  <c r="K102" i="1"/>
  <c r="Y102" i="1" s="1"/>
  <c r="M102" i="1"/>
  <c r="N102" i="1"/>
  <c r="O102" i="1"/>
  <c r="V102" i="1" s="1"/>
  <c r="P102" i="1"/>
  <c r="Q102" i="1"/>
  <c r="A103" i="1"/>
  <c r="E103" i="1"/>
  <c r="F103" i="1"/>
  <c r="G103" i="1"/>
  <c r="H103" i="1"/>
  <c r="I103" i="1"/>
  <c r="AA103" i="1" s="1"/>
  <c r="J103" i="1"/>
  <c r="K103" i="1"/>
  <c r="M103" i="1"/>
  <c r="N103" i="1"/>
  <c r="O103" i="1"/>
  <c r="P103" i="1"/>
  <c r="Q103" i="1"/>
  <c r="A104" i="1"/>
  <c r="E104" i="1"/>
  <c r="F104" i="1"/>
  <c r="G104" i="1"/>
  <c r="H104" i="1"/>
  <c r="I104" i="1"/>
  <c r="AA104" i="1" s="1"/>
  <c r="J104" i="1"/>
  <c r="K104" i="1"/>
  <c r="M104" i="1"/>
  <c r="N104" i="1"/>
  <c r="O104" i="1"/>
  <c r="V104" i="1" s="1"/>
  <c r="P104" i="1"/>
  <c r="Q104" i="1"/>
  <c r="A105" i="1"/>
  <c r="E105" i="1"/>
  <c r="F105" i="1"/>
  <c r="G105" i="1"/>
  <c r="H105" i="1"/>
  <c r="I105" i="1"/>
  <c r="AA105" i="1" s="1"/>
  <c r="J105" i="1"/>
  <c r="K105" i="1"/>
  <c r="Y105" i="1" s="1"/>
  <c r="M105" i="1"/>
  <c r="N105" i="1"/>
  <c r="O105" i="1"/>
  <c r="P105" i="1"/>
  <c r="Q105" i="1"/>
  <c r="A106" i="1"/>
  <c r="E106" i="1"/>
  <c r="F106" i="1"/>
  <c r="G106" i="1"/>
  <c r="H106" i="1"/>
  <c r="I106" i="1"/>
  <c r="AA106" i="1" s="1"/>
  <c r="J106" i="1"/>
  <c r="K106" i="1"/>
  <c r="Y106" i="1" s="1"/>
  <c r="M106" i="1"/>
  <c r="N106" i="1"/>
  <c r="O106" i="1"/>
  <c r="P106" i="1"/>
  <c r="Q106" i="1"/>
  <c r="A107" i="1"/>
  <c r="E107" i="1"/>
  <c r="F107" i="1"/>
  <c r="G107" i="1"/>
  <c r="H107" i="1"/>
  <c r="I107" i="1"/>
  <c r="J107" i="1"/>
  <c r="K107" i="1"/>
  <c r="Y107" i="1" s="1"/>
  <c r="M107" i="1"/>
  <c r="N107" i="1"/>
  <c r="O107" i="1"/>
  <c r="P107" i="1"/>
  <c r="Q107" i="1"/>
  <c r="AA107" i="1"/>
  <c r="A108" i="1"/>
  <c r="E108" i="1"/>
  <c r="F108" i="1"/>
  <c r="G108" i="1"/>
  <c r="H108" i="1"/>
  <c r="I108" i="1"/>
  <c r="AA108" i="1" s="1"/>
  <c r="J108" i="1"/>
  <c r="K108" i="1"/>
  <c r="M108" i="1"/>
  <c r="N108" i="1"/>
  <c r="O108" i="1"/>
  <c r="P108" i="1"/>
  <c r="Q108" i="1"/>
  <c r="A109" i="1"/>
  <c r="E109" i="1"/>
  <c r="F109" i="1"/>
  <c r="G109" i="1"/>
  <c r="H109" i="1"/>
  <c r="I109" i="1"/>
  <c r="AA109" i="1" s="1"/>
  <c r="J109" i="1"/>
  <c r="K109" i="1"/>
  <c r="Y109" i="1" s="1"/>
  <c r="M109" i="1"/>
  <c r="N109" i="1"/>
  <c r="O109" i="1"/>
  <c r="P109" i="1"/>
  <c r="Q109" i="1"/>
  <c r="A110" i="1"/>
  <c r="E110" i="1"/>
  <c r="F110" i="1"/>
  <c r="G110" i="1"/>
  <c r="H110" i="1"/>
  <c r="I110" i="1"/>
  <c r="AA110" i="1" s="1"/>
  <c r="J110" i="1"/>
  <c r="K110" i="1"/>
  <c r="Y110" i="1" s="1"/>
  <c r="M110" i="1"/>
  <c r="N110" i="1"/>
  <c r="U110" i="1" s="1"/>
  <c r="O110" i="1"/>
  <c r="V110" i="1" s="1"/>
  <c r="P110" i="1"/>
  <c r="Q110" i="1"/>
  <c r="A111" i="1"/>
  <c r="E111" i="1"/>
  <c r="F111" i="1"/>
  <c r="G111" i="1"/>
  <c r="H111" i="1"/>
  <c r="I111" i="1"/>
  <c r="AA111" i="1" s="1"/>
  <c r="J111" i="1"/>
  <c r="K111" i="1"/>
  <c r="Y111" i="1" s="1"/>
  <c r="M111" i="1"/>
  <c r="N111" i="1"/>
  <c r="U111" i="1" s="1"/>
  <c r="O111" i="1"/>
  <c r="P111" i="1"/>
  <c r="Q111" i="1"/>
  <c r="A112" i="1"/>
  <c r="E112" i="1"/>
  <c r="F112" i="1"/>
  <c r="G112" i="1"/>
  <c r="H112" i="1"/>
  <c r="I112" i="1"/>
  <c r="AA112" i="1" s="1"/>
  <c r="J112" i="1"/>
  <c r="K112" i="1"/>
  <c r="Y112" i="1" s="1"/>
  <c r="M112" i="1"/>
  <c r="N112" i="1"/>
  <c r="O112" i="1"/>
  <c r="P112" i="1"/>
  <c r="W112" i="1" s="1"/>
  <c r="Q112" i="1"/>
  <c r="X112" i="1" s="1"/>
  <c r="T112" i="1"/>
  <c r="A113" i="1"/>
  <c r="E113" i="1"/>
  <c r="F113" i="1"/>
  <c r="G113" i="1"/>
  <c r="H113" i="1"/>
  <c r="I113" i="1"/>
  <c r="AA113" i="1" s="1"/>
  <c r="J113" i="1"/>
  <c r="K113" i="1"/>
  <c r="V113" i="1" s="1"/>
  <c r="M113" i="1"/>
  <c r="N113" i="1"/>
  <c r="O113" i="1"/>
  <c r="P113" i="1"/>
  <c r="Q113" i="1"/>
  <c r="A114" i="1"/>
  <c r="E114" i="1"/>
  <c r="F114" i="1"/>
  <c r="G114" i="1"/>
  <c r="H114" i="1"/>
  <c r="I114" i="1"/>
  <c r="AA114" i="1" s="1"/>
  <c r="J114" i="1"/>
  <c r="K114" i="1"/>
  <c r="Y114" i="1" s="1"/>
  <c r="M114" i="1"/>
  <c r="N114" i="1"/>
  <c r="O114" i="1"/>
  <c r="V114" i="1" s="1"/>
  <c r="P114" i="1"/>
  <c r="Q114" i="1"/>
  <c r="A115" i="1"/>
  <c r="E115" i="1"/>
  <c r="F115" i="1"/>
  <c r="G115" i="1"/>
  <c r="H115" i="1"/>
  <c r="I115" i="1"/>
  <c r="AA115" i="1" s="1"/>
  <c r="J115" i="1"/>
  <c r="K115" i="1"/>
  <c r="W115" i="1" s="1"/>
  <c r="M115" i="1"/>
  <c r="N115" i="1"/>
  <c r="O115" i="1"/>
  <c r="P115" i="1"/>
  <c r="Q115" i="1"/>
  <c r="A116" i="1"/>
  <c r="E116" i="1"/>
  <c r="F116" i="1"/>
  <c r="G116" i="1"/>
  <c r="H116" i="1"/>
  <c r="I116" i="1"/>
  <c r="AA116" i="1" s="1"/>
  <c r="J116" i="1"/>
  <c r="K116" i="1"/>
  <c r="M116" i="1"/>
  <c r="N116" i="1"/>
  <c r="O116" i="1"/>
  <c r="P116" i="1"/>
  <c r="Q116" i="1"/>
  <c r="A117" i="1"/>
  <c r="E117" i="1"/>
  <c r="F117" i="1"/>
  <c r="G117" i="1"/>
  <c r="H117" i="1"/>
  <c r="I117" i="1"/>
  <c r="AA117" i="1" s="1"/>
  <c r="J117" i="1"/>
  <c r="K117" i="1"/>
  <c r="Y117" i="1" s="1"/>
  <c r="M117" i="1"/>
  <c r="N117" i="1"/>
  <c r="O117" i="1"/>
  <c r="V117" i="1" s="1"/>
  <c r="P117" i="1"/>
  <c r="W117" i="1" s="1"/>
  <c r="Q117" i="1"/>
  <c r="A118" i="1"/>
  <c r="E118" i="1"/>
  <c r="F118" i="1"/>
  <c r="G118" i="1"/>
  <c r="H118" i="1"/>
  <c r="I118" i="1"/>
  <c r="AA118" i="1" s="1"/>
  <c r="J118" i="1"/>
  <c r="K118" i="1"/>
  <c r="Y118" i="1" s="1"/>
  <c r="M118" i="1"/>
  <c r="N118" i="1"/>
  <c r="O118" i="1"/>
  <c r="P118" i="1"/>
  <c r="Q118" i="1"/>
  <c r="A119" i="1"/>
  <c r="E119" i="1"/>
  <c r="F119" i="1"/>
  <c r="G119" i="1"/>
  <c r="H119" i="1"/>
  <c r="I119" i="1"/>
  <c r="AA119" i="1" s="1"/>
  <c r="J119" i="1"/>
  <c r="K119" i="1"/>
  <c r="Y119" i="1" s="1"/>
  <c r="M119" i="1"/>
  <c r="N119" i="1"/>
  <c r="O119" i="1"/>
  <c r="P119" i="1"/>
  <c r="Q119" i="1"/>
  <c r="A120" i="1"/>
  <c r="E120" i="1"/>
  <c r="F120" i="1"/>
  <c r="G120" i="1"/>
  <c r="H120" i="1"/>
  <c r="I120" i="1"/>
  <c r="AA120" i="1" s="1"/>
  <c r="J120" i="1"/>
  <c r="K120" i="1"/>
  <c r="Y120" i="1" s="1"/>
  <c r="M120" i="1"/>
  <c r="N120" i="1"/>
  <c r="O120" i="1"/>
  <c r="P120" i="1"/>
  <c r="Q120" i="1"/>
  <c r="A121" i="1"/>
  <c r="E121" i="1"/>
  <c r="F121" i="1"/>
  <c r="G121" i="1"/>
  <c r="H121" i="1"/>
  <c r="I121" i="1"/>
  <c r="AA121" i="1" s="1"/>
  <c r="J121" i="1"/>
  <c r="K121" i="1"/>
  <c r="M121" i="1"/>
  <c r="N121" i="1"/>
  <c r="O121" i="1"/>
  <c r="P121" i="1"/>
  <c r="Q121" i="1"/>
  <c r="A122" i="1"/>
  <c r="E122" i="1"/>
  <c r="F122" i="1"/>
  <c r="G122" i="1"/>
  <c r="H122" i="1"/>
  <c r="I122" i="1"/>
  <c r="AA122" i="1" s="1"/>
  <c r="J122" i="1"/>
  <c r="K122" i="1"/>
  <c r="M122" i="1"/>
  <c r="N122" i="1"/>
  <c r="O122" i="1"/>
  <c r="P122" i="1"/>
  <c r="Q122" i="1"/>
  <c r="A123" i="1"/>
  <c r="E123" i="1"/>
  <c r="F123" i="1"/>
  <c r="G123" i="1"/>
  <c r="H123" i="1"/>
  <c r="I123" i="1"/>
  <c r="AA123" i="1" s="1"/>
  <c r="J123" i="1"/>
  <c r="K123" i="1"/>
  <c r="Y123" i="1" s="1"/>
  <c r="M123" i="1"/>
  <c r="N123" i="1"/>
  <c r="O123" i="1"/>
  <c r="P123" i="1"/>
  <c r="Q123" i="1"/>
  <c r="A124" i="1"/>
  <c r="E124" i="1"/>
  <c r="F124" i="1"/>
  <c r="G124" i="1"/>
  <c r="H124" i="1"/>
  <c r="I124" i="1"/>
  <c r="AA124" i="1" s="1"/>
  <c r="J124" i="1"/>
  <c r="K124" i="1"/>
  <c r="Y124" i="1" s="1"/>
  <c r="M124" i="1"/>
  <c r="N124" i="1"/>
  <c r="O124" i="1"/>
  <c r="P124" i="1"/>
  <c r="Q124" i="1"/>
  <c r="A125" i="1"/>
  <c r="E125" i="1"/>
  <c r="F125" i="1"/>
  <c r="G125" i="1"/>
  <c r="H125" i="1"/>
  <c r="I125" i="1"/>
  <c r="AA125" i="1" s="1"/>
  <c r="J125" i="1"/>
  <c r="K125" i="1"/>
  <c r="Y125" i="1" s="1"/>
  <c r="M125" i="1"/>
  <c r="N125" i="1"/>
  <c r="O125" i="1"/>
  <c r="P125" i="1"/>
  <c r="Q125" i="1"/>
  <c r="A126" i="1"/>
  <c r="E126" i="1"/>
  <c r="F126" i="1"/>
  <c r="G126" i="1"/>
  <c r="H126" i="1"/>
  <c r="I126" i="1"/>
  <c r="AA126" i="1" s="1"/>
  <c r="J126" i="1"/>
  <c r="K126" i="1"/>
  <c r="Y126" i="1" s="1"/>
  <c r="M126" i="1"/>
  <c r="N126" i="1"/>
  <c r="O126" i="1"/>
  <c r="P126" i="1"/>
  <c r="W126" i="1" s="1"/>
  <c r="Q126" i="1"/>
  <c r="X126" i="1" s="1"/>
  <c r="A127" i="1"/>
  <c r="E127" i="1"/>
  <c r="F127" i="1"/>
  <c r="G127" i="1"/>
  <c r="H127" i="1"/>
  <c r="I127" i="1"/>
  <c r="AA127" i="1" s="1"/>
  <c r="J127" i="1"/>
  <c r="K127" i="1"/>
  <c r="M127" i="1"/>
  <c r="N127" i="1"/>
  <c r="O127" i="1"/>
  <c r="P127" i="1"/>
  <c r="Q127" i="1"/>
  <c r="A128" i="1"/>
  <c r="E128" i="1"/>
  <c r="F128" i="1"/>
  <c r="G128" i="1"/>
  <c r="H128" i="1"/>
  <c r="I128" i="1"/>
  <c r="AA128" i="1" s="1"/>
  <c r="J128" i="1"/>
  <c r="K128" i="1"/>
  <c r="Y128" i="1" s="1"/>
  <c r="M128" i="1"/>
  <c r="T128" i="1" s="1"/>
  <c r="N128" i="1"/>
  <c r="O128" i="1"/>
  <c r="P128" i="1"/>
  <c r="Q128" i="1"/>
  <c r="A129" i="1"/>
  <c r="E129" i="1"/>
  <c r="F129" i="1"/>
  <c r="G129" i="1"/>
  <c r="H129" i="1"/>
  <c r="I129" i="1"/>
  <c r="AA129" i="1" s="1"/>
  <c r="AB129" i="1" s="1"/>
  <c r="J129" i="1"/>
  <c r="K129" i="1"/>
  <c r="M129" i="1"/>
  <c r="N129" i="1"/>
  <c r="O129" i="1"/>
  <c r="P129" i="1"/>
  <c r="Q129" i="1"/>
  <c r="A130" i="1"/>
  <c r="E130" i="1"/>
  <c r="F130" i="1"/>
  <c r="G130" i="1"/>
  <c r="H130" i="1"/>
  <c r="I130" i="1"/>
  <c r="AA130" i="1" s="1"/>
  <c r="J130" i="1"/>
  <c r="K130" i="1"/>
  <c r="M130" i="1"/>
  <c r="N130" i="1"/>
  <c r="O130" i="1"/>
  <c r="V130" i="1" s="1"/>
  <c r="P130" i="1"/>
  <c r="Q130" i="1"/>
  <c r="A131" i="1"/>
  <c r="E131" i="1"/>
  <c r="F131" i="1"/>
  <c r="G131" i="1"/>
  <c r="H131" i="1"/>
  <c r="I131" i="1"/>
  <c r="AA131" i="1" s="1"/>
  <c r="J131" i="1"/>
  <c r="K131" i="1"/>
  <c r="Y131" i="1" s="1"/>
  <c r="M131" i="1"/>
  <c r="N131" i="1"/>
  <c r="O131" i="1"/>
  <c r="P131" i="1"/>
  <c r="Q131" i="1"/>
  <c r="A132" i="1"/>
  <c r="E132" i="1"/>
  <c r="F132" i="1"/>
  <c r="G132" i="1"/>
  <c r="H132" i="1"/>
  <c r="I132" i="1"/>
  <c r="AA132" i="1" s="1"/>
  <c r="J132" i="1"/>
  <c r="K132" i="1"/>
  <c r="M132" i="1"/>
  <c r="N132" i="1"/>
  <c r="O132" i="1"/>
  <c r="P132" i="1"/>
  <c r="Q132" i="1"/>
  <c r="A133" i="1"/>
  <c r="E133" i="1"/>
  <c r="F133" i="1"/>
  <c r="G133" i="1"/>
  <c r="H133" i="1"/>
  <c r="I133" i="1"/>
  <c r="AA133" i="1" s="1"/>
  <c r="J133" i="1"/>
  <c r="K133" i="1"/>
  <c r="M133" i="1"/>
  <c r="N133" i="1"/>
  <c r="O133" i="1"/>
  <c r="P133" i="1"/>
  <c r="Q133" i="1"/>
  <c r="A134" i="1"/>
  <c r="E134" i="1"/>
  <c r="F134" i="1"/>
  <c r="G134" i="1"/>
  <c r="H134" i="1"/>
  <c r="I134" i="1"/>
  <c r="J134" i="1"/>
  <c r="K134" i="1"/>
  <c r="W134" i="1" s="1"/>
  <c r="M134" i="1"/>
  <c r="T134" i="1" s="1"/>
  <c r="N134" i="1"/>
  <c r="U134" i="1" s="1"/>
  <c r="O134" i="1"/>
  <c r="P134" i="1"/>
  <c r="Q134" i="1"/>
  <c r="AA134" i="1"/>
  <c r="A135" i="1"/>
  <c r="E135" i="1"/>
  <c r="F135" i="1"/>
  <c r="G135" i="1"/>
  <c r="H135" i="1"/>
  <c r="I135" i="1"/>
  <c r="AA135" i="1" s="1"/>
  <c r="J135" i="1"/>
  <c r="K135" i="1"/>
  <c r="Y135" i="1" s="1"/>
  <c r="M135" i="1"/>
  <c r="N135" i="1"/>
  <c r="O135" i="1"/>
  <c r="P135" i="1"/>
  <c r="Q135" i="1"/>
  <c r="A136" i="1"/>
  <c r="E136" i="1"/>
  <c r="F136" i="1"/>
  <c r="G136" i="1"/>
  <c r="H136" i="1"/>
  <c r="I136" i="1"/>
  <c r="AA136" i="1" s="1"/>
  <c r="J136" i="1"/>
  <c r="K136" i="1"/>
  <c r="W136" i="1" s="1"/>
  <c r="M136" i="1"/>
  <c r="N136" i="1"/>
  <c r="O136" i="1"/>
  <c r="P136" i="1"/>
  <c r="Q136" i="1"/>
  <c r="A137" i="1"/>
  <c r="E137" i="1"/>
  <c r="F137" i="1"/>
  <c r="G137" i="1"/>
  <c r="H137" i="1"/>
  <c r="I137" i="1"/>
  <c r="AA137" i="1" s="1"/>
  <c r="J137" i="1"/>
  <c r="K137" i="1"/>
  <c r="M137" i="1"/>
  <c r="N137" i="1"/>
  <c r="O137" i="1"/>
  <c r="P137" i="1"/>
  <c r="Q137" i="1"/>
  <c r="A138" i="1"/>
  <c r="E138" i="1"/>
  <c r="F138" i="1"/>
  <c r="G138" i="1"/>
  <c r="H138" i="1"/>
  <c r="I138" i="1"/>
  <c r="AA138" i="1" s="1"/>
  <c r="J138" i="1"/>
  <c r="K138" i="1"/>
  <c r="Y138" i="1" s="1"/>
  <c r="M138" i="1"/>
  <c r="N138" i="1"/>
  <c r="O138" i="1"/>
  <c r="P138" i="1"/>
  <c r="Q138" i="1"/>
  <c r="A139" i="1"/>
  <c r="E139" i="1"/>
  <c r="F139" i="1"/>
  <c r="G139" i="1"/>
  <c r="H139" i="1"/>
  <c r="I139" i="1"/>
  <c r="AA139" i="1" s="1"/>
  <c r="J139" i="1"/>
  <c r="K139" i="1"/>
  <c r="Y139" i="1" s="1"/>
  <c r="M139" i="1"/>
  <c r="T139" i="1" s="1"/>
  <c r="N139" i="1"/>
  <c r="O139" i="1"/>
  <c r="P139" i="1"/>
  <c r="Q139" i="1"/>
  <c r="A140" i="1"/>
  <c r="E140" i="1"/>
  <c r="F140" i="1"/>
  <c r="G140" i="1"/>
  <c r="H140" i="1"/>
  <c r="I140" i="1"/>
  <c r="AA140" i="1" s="1"/>
  <c r="J140" i="1"/>
  <c r="K140" i="1"/>
  <c r="Y140" i="1" s="1"/>
  <c r="M140" i="1"/>
  <c r="N140" i="1"/>
  <c r="U140" i="1" s="1"/>
  <c r="O140" i="1"/>
  <c r="P140" i="1"/>
  <c r="Q140" i="1"/>
  <c r="A141" i="1"/>
  <c r="E141" i="1"/>
  <c r="F141" i="1"/>
  <c r="G141" i="1"/>
  <c r="H141" i="1"/>
  <c r="I141" i="1"/>
  <c r="AA141" i="1" s="1"/>
  <c r="J141" i="1"/>
  <c r="K141" i="1"/>
  <c r="Y141" i="1" s="1"/>
  <c r="M141" i="1"/>
  <c r="N141" i="1"/>
  <c r="O141" i="1"/>
  <c r="P141" i="1"/>
  <c r="Q141" i="1"/>
  <c r="A142" i="1"/>
  <c r="E142" i="1"/>
  <c r="F142" i="1"/>
  <c r="G142" i="1"/>
  <c r="H142" i="1"/>
  <c r="I142" i="1"/>
  <c r="AA142" i="1" s="1"/>
  <c r="J142" i="1"/>
  <c r="K142" i="1"/>
  <c r="Y142" i="1" s="1"/>
  <c r="M142" i="1"/>
  <c r="T142" i="1" s="1"/>
  <c r="N142" i="1"/>
  <c r="O142" i="1"/>
  <c r="V142" i="1" s="1"/>
  <c r="P142" i="1"/>
  <c r="W142" i="1" s="1"/>
  <c r="Q142" i="1"/>
  <c r="A143" i="1"/>
  <c r="E143" i="1"/>
  <c r="F143" i="1"/>
  <c r="G143" i="1"/>
  <c r="H143" i="1"/>
  <c r="I143" i="1"/>
  <c r="AA143" i="1" s="1"/>
  <c r="J143" i="1"/>
  <c r="K143" i="1"/>
  <c r="Y143" i="1" s="1"/>
  <c r="M143" i="1"/>
  <c r="N143" i="1"/>
  <c r="O143" i="1"/>
  <c r="P143" i="1"/>
  <c r="Q143" i="1"/>
  <c r="A144" i="1"/>
  <c r="E144" i="1"/>
  <c r="F144" i="1"/>
  <c r="G144" i="1"/>
  <c r="H144" i="1"/>
  <c r="I144" i="1"/>
  <c r="AA144" i="1" s="1"/>
  <c r="J144" i="1"/>
  <c r="K144" i="1"/>
  <c r="M144" i="1"/>
  <c r="N144" i="1"/>
  <c r="U144" i="1" s="1"/>
  <c r="O144" i="1"/>
  <c r="P144" i="1"/>
  <c r="Q144" i="1"/>
  <c r="A145" i="1"/>
  <c r="E145" i="1"/>
  <c r="F145" i="1"/>
  <c r="G145" i="1"/>
  <c r="H145" i="1"/>
  <c r="I145" i="1"/>
  <c r="AA145" i="1" s="1"/>
  <c r="J145" i="1"/>
  <c r="K145" i="1"/>
  <c r="Y145" i="1" s="1"/>
  <c r="M145" i="1"/>
  <c r="T145" i="1" s="1"/>
  <c r="N145" i="1"/>
  <c r="O145" i="1"/>
  <c r="P145" i="1"/>
  <c r="Q145" i="1"/>
  <c r="A146" i="1"/>
  <c r="E146" i="1"/>
  <c r="F146" i="1"/>
  <c r="G146" i="1"/>
  <c r="H146" i="1"/>
  <c r="I146" i="1"/>
  <c r="AA146" i="1" s="1"/>
  <c r="J146" i="1"/>
  <c r="K146" i="1"/>
  <c r="Y146" i="1" s="1"/>
  <c r="M146" i="1"/>
  <c r="T146" i="1" s="1"/>
  <c r="N146" i="1"/>
  <c r="O146" i="1"/>
  <c r="P146" i="1"/>
  <c r="Q146" i="1"/>
  <c r="A147" i="1"/>
  <c r="E147" i="1"/>
  <c r="F147" i="1"/>
  <c r="G147" i="1"/>
  <c r="H147" i="1"/>
  <c r="I147" i="1"/>
  <c r="AA147" i="1" s="1"/>
  <c r="AB147" i="1" s="1"/>
  <c r="J147" i="1"/>
  <c r="K147" i="1"/>
  <c r="M147" i="1"/>
  <c r="N147" i="1"/>
  <c r="O147" i="1"/>
  <c r="P147" i="1"/>
  <c r="Q147" i="1"/>
  <c r="A148" i="1"/>
  <c r="E148" i="1"/>
  <c r="F148" i="1"/>
  <c r="G148" i="1"/>
  <c r="H148" i="1"/>
  <c r="I148" i="1"/>
  <c r="AA148" i="1" s="1"/>
  <c r="J148" i="1"/>
  <c r="K148" i="1"/>
  <c r="M148" i="1"/>
  <c r="N148" i="1"/>
  <c r="U148" i="1" s="1"/>
  <c r="O148" i="1"/>
  <c r="P148" i="1"/>
  <c r="Q148" i="1"/>
  <c r="A149" i="1"/>
  <c r="E149" i="1"/>
  <c r="F149" i="1"/>
  <c r="G149" i="1"/>
  <c r="H149" i="1"/>
  <c r="I149" i="1"/>
  <c r="AA149" i="1" s="1"/>
  <c r="J149" i="1"/>
  <c r="K149" i="1"/>
  <c r="Y149" i="1" s="1"/>
  <c r="M149" i="1"/>
  <c r="N149" i="1"/>
  <c r="O149" i="1"/>
  <c r="P149" i="1"/>
  <c r="Q149" i="1"/>
  <c r="A150" i="1"/>
  <c r="E150" i="1"/>
  <c r="F150" i="1"/>
  <c r="G150" i="1"/>
  <c r="H150" i="1"/>
  <c r="I150" i="1"/>
  <c r="AA150" i="1" s="1"/>
  <c r="J150" i="1"/>
  <c r="K150" i="1"/>
  <c r="M150" i="1"/>
  <c r="N150" i="1"/>
  <c r="O150" i="1"/>
  <c r="P150" i="1"/>
  <c r="Q150" i="1"/>
  <c r="A151" i="1"/>
  <c r="E151" i="1"/>
  <c r="F151" i="1"/>
  <c r="G151" i="1"/>
  <c r="H151" i="1"/>
  <c r="I151" i="1"/>
  <c r="AA151" i="1" s="1"/>
  <c r="J151" i="1"/>
  <c r="K151" i="1"/>
  <c r="Y151" i="1" s="1"/>
  <c r="M151" i="1"/>
  <c r="T151" i="1" s="1"/>
  <c r="N151" i="1"/>
  <c r="O151" i="1"/>
  <c r="P151" i="1"/>
  <c r="Q151" i="1"/>
  <c r="A152" i="1"/>
  <c r="E152" i="1"/>
  <c r="F152" i="1"/>
  <c r="G152" i="1"/>
  <c r="H152" i="1"/>
  <c r="I152" i="1"/>
  <c r="AA152" i="1" s="1"/>
  <c r="J152" i="1"/>
  <c r="K152" i="1"/>
  <c r="Y152" i="1" s="1"/>
  <c r="M152" i="1"/>
  <c r="R152" i="1" s="1"/>
  <c r="S152" i="1" s="1"/>
  <c r="N152" i="1"/>
  <c r="O152" i="1"/>
  <c r="P152" i="1"/>
  <c r="Q152" i="1"/>
  <c r="A153" i="1"/>
  <c r="E153" i="1"/>
  <c r="F153" i="1"/>
  <c r="G153" i="1"/>
  <c r="H153" i="1"/>
  <c r="I153" i="1"/>
  <c r="J153" i="1"/>
  <c r="K153" i="1"/>
  <c r="Y153" i="1" s="1"/>
  <c r="M153" i="1"/>
  <c r="N153" i="1"/>
  <c r="O153" i="1"/>
  <c r="P153" i="1"/>
  <c r="W153" i="1" s="1"/>
  <c r="Q153" i="1"/>
  <c r="X153" i="1" s="1"/>
  <c r="T153" i="1"/>
  <c r="V153" i="1"/>
  <c r="AA153" i="1"/>
  <c r="A154" i="1"/>
  <c r="E154" i="1"/>
  <c r="F154" i="1"/>
  <c r="G154" i="1"/>
  <c r="H154" i="1"/>
  <c r="I154" i="1"/>
  <c r="AA154" i="1" s="1"/>
  <c r="J154" i="1"/>
  <c r="K154" i="1"/>
  <c r="Y154" i="1" s="1"/>
  <c r="M154" i="1"/>
  <c r="N154" i="1"/>
  <c r="O154" i="1"/>
  <c r="P154" i="1"/>
  <c r="Q154" i="1"/>
  <c r="A155" i="1"/>
  <c r="E155" i="1"/>
  <c r="F155" i="1"/>
  <c r="G155" i="1"/>
  <c r="H155" i="1"/>
  <c r="I155" i="1"/>
  <c r="AA155" i="1" s="1"/>
  <c r="J155" i="1"/>
  <c r="K155" i="1"/>
  <c r="Y155" i="1" s="1"/>
  <c r="M155" i="1"/>
  <c r="N155" i="1"/>
  <c r="U155" i="1" s="1"/>
  <c r="O155" i="1"/>
  <c r="P155" i="1"/>
  <c r="W155" i="1" s="1"/>
  <c r="Q155" i="1"/>
  <c r="A156" i="1"/>
  <c r="E156" i="1"/>
  <c r="F156" i="1"/>
  <c r="G156" i="1"/>
  <c r="H156" i="1"/>
  <c r="I156" i="1"/>
  <c r="AA156" i="1" s="1"/>
  <c r="J156" i="1"/>
  <c r="K156" i="1"/>
  <c r="M156" i="1"/>
  <c r="N156" i="1"/>
  <c r="O156" i="1"/>
  <c r="P156" i="1"/>
  <c r="Q156" i="1"/>
  <c r="A157" i="1"/>
  <c r="E157" i="1"/>
  <c r="F157" i="1"/>
  <c r="G157" i="1"/>
  <c r="H157" i="1"/>
  <c r="I157" i="1"/>
  <c r="AA157" i="1" s="1"/>
  <c r="J157" i="1"/>
  <c r="K157" i="1"/>
  <c r="Y157" i="1" s="1"/>
  <c r="M157" i="1"/>
  <c r="T157" i="1" s="1"/>
  <c r="N157" i="1"/>
  <c r="O157" i="1"/>
  <c r="V157" i="1" s="1"/>
  <c r="P157" i="1"/>
  <c r="W157" i="1" s="1"/>
  <c r="Q157" i="1"/>
  <c r="A158" i="1"/>
  <c r="E158" i="1"/>
  <c r="F158" i="1"/>
  <c r="G158" i="1"/>
  <c r="H158" i="1"/>
  <c r="I158" i="1"/>
  <c r="AA158" i="1" s="1"/>
  <c r="J158" i="1"/>
  <c r="K158" i="1"/>
  <c r="Y158" i="1" s="1"/>
  <c r="M158" i="1"/>
  <c r="N158" i="1"/>
  <c r="O158" i="1"/>
  <c r="P158" i="1"/>
  <c r="Q158" i="1"/>
  <c r="A159" i="1"/>
  <c r="E159" i="1"/>
  <c r="F159" i="1"/>
  <c r="G159" i="1"/>
  <c r="H159" i="1"/>
  <c r="I159" i="1"/>
  <c r="AA159" i="1" s="1"/>
  <c r="J159" i="1"/>
  <c r="K159" i="1"/>
  <c r="M159" i="1"/>
  <c r="N159" i="1"/>
  <c r="O159" i="1"/>
  <c r="P159" i="1"/>
  <c r="Q159" i="1"/>
  <c r="A160" i="1"/>
  <c r="E160" i="1"/>
  <c r="F160" i="1"/>
  <c r="G160" i="1"/>
  <c r="H160" i="1"/>
  <c r="I160" i="1"/>
  <c r="AA160" i="1" s="1"/>
  <c r="J160" i="1"/>
  <c r="K160" i="1"/>
  <c r="Y160" i="1" s="1"/>
  <c r="M160" i="1"/>
  <c r="N160" i="1"/>
  <c r="O160" i="1"/>
  <c r="P160" i="1"/>
  <c r="Q160" i="1"/>
  <c r="A161" i="1"/>
  <c r="E161" i="1"/>
  <c r="F161" i="1"/>
  <c r="G161" i="1"/>
  <c r="H161" i="1"/>
  <c r="I161" i="1"/>
  <c r="AA161" i="1" s="1"/>
  <c r="J161" i="1"/>
  <c r="K161" i="1"/>
  <c r="M161" i="1"/>
  <c r="N161" i="1"/>
  <c r="O161" i="1"/>
  <c r="P161" i="1"/>
  <c r="Q161" i="1"/>
  <c r="A162" i="1"/>
  <c r="E162" i="1"/>
  <c r="F162" i="1"/>
  <c r="G162" i="1"/>
  <c r="H162" i="1"/>
  <c r="I162" i="1"/>
  <c r="AA162" i="1" s="1"/>
  <c r="J162" i="1"/>
  <c r="K162" i="1"/>
  <c r="Y162" i="1" s="1"/>
  <c r="M162" i="1"/>
  <c r="N162" i="1"/>
  <c r="O162" i="1"/>
  <c r="P162" i="1"/>
  <c r="Q162" i="1"/>
  <c r="T160" i="1" l="1"/>
  <c r="X151" i="1"/>
  <c r="T68" i="1"/>
  <c r="T50" i="1"/>
  <c r="V47" i="1"/>
  <c r="W11" i="1"/>
  <c r="W8" i="1"/>
  <c r="S42" i="1"/>
  <c r="R140" i="1"/>
  <c r="S140" i="1" s="1"/>
  <c r="W151" i="1"/>
  <c r="Z151" i="1" s="1"/>
  <c r="AC151" i="1" s="1"/>
  <c r="AD151" i="1" s="1"/>
  <c r="AE151" i="1" s="1"/>
  <c r="W145" i="1"/>
  <c r="V124" i="1"/>
  <c r="W60" i="1"/>
  <c r="V26" i="1"/>
  <c r="V8" i="1"/>
  <c r="W5" i="1"/>
  <c r="U157" i="1"/>
  <c r="V151" i="1"/>
  <c r="V145" i="1"/>
  <c r="AB141" i="1"/>
  <c r="V127" i="1"/>
  <c r="U124" i="1"/>
  <c r="T102" i="1"/>
  <c r="AB65" i="1"/>
  <c r="U26" i="1"/>
  <c r="U11" i="1"/>
  <c r="AB4" i="1"/>
  <c r="R43" i="1"/>
  <c r="U151" i="1"/>
  <c r="U145" i="1"/>
  <c r="U127" i="1"/>
  <c r="T8" i="1"/>
  <c r="Y113" i="1"/>
  <c r="R148" i="1"/>
  <c r="S148" i="1" s="1"/>
  <c r="X113" i="1"/>
  <c r="V27" i="1"/>
  <c r="Y24" i="1"/>
  <c r="W148" i="1"/>
  <c r="AB70" i="1"/>
  <c r="AB55" i="1"/>
  <c r="X27" i="1"/>
  <c r="AB26" i="1"/>
  <c r="X20" i="1"/>
  <c r="X146" i="1"/>
  <c r="AB145" i="1"/>
  <c r="X134" i="1"/>
  <c r="Y70" i="1"/>
  <c r="Y55" i="1"/>
  <c r="R42" i="1"/>
  <c r="W27" i="1"/>
  <c r="V23" i="1"/>
  <c r="AB17" i="1"/>
  <c r="AB5" i="1"/>
  <c r="AB161" i="1"/>
  <c r="X159" i="1"/>
  <c r="R146" i="1"/>
  <c r="S146" i="1" s="1"/>
  <c r="AB142" i="1"/>
  <c r="W140" i="1"/>
  <c r="W64" i="1"/>
  <c r="V61" i="1"/>
  <c r="U27" i="1"/>
  <c r="Z27" i="1" s="1"/>
  <c r="AC27" i="1" s="1"/>
  <c r="AD27" i="1" s="1"/>
  <c r="AE27" i="1" s="1"/>
  <c r="W24" i="1"/>
  <c r="W21" i="1"/>
  <c r="U9" i="1"/>
  <c r="X89" i="1"/>
  <c r="T76" i="1"/>
  <c r="R45" i="1"/>
  <c r="S45" i="1" s="1"/>
  <c r="X21" i="1"/>
  <c r="W159" i="1"/>
  <c r="T149" i="1"/>
  <c r="U146" i="1"/>
  <c r="V140" i="1"/>
  <c r="T125" i="1"/>
  <c r="X117" i="1"/>
  <c r="AB112" i="1"/>
  <c r="AB109" i="1"/>
  <c r="V92" i="1"/>
  <c r="V89" i="1"/>
  <c r="X77" i="1"/>
  <c r="V64" i="1"/>
  <c r="V21" i="1"/>
  <c r="Z21" i="1" s="1"/>
  <c r="AC21" i="1" s="1"/>
  <c r="AD21" i="1" s="1"/>
  <c r="AE21" i="1" s="1"/>
  <c r="U18" i="1"/>
  <c r="T9" i="1"/>
  <c r="T113" i="1"/>
  <c r="R86" i="1"/>
  <c r="S86" i="1" s="1"/>
  <c r="R39" i="1"/>
  <c r="AB27" i="1"/>
  <c r="X157" i="1"/>
  <c r="X141" i="1"/>
  <c r="X87" i="1"/>
  <c r="X78" i="1"/>
  <c r="AB64" i="1"/>
  <c r="W43" i="1"/>
  <c r="AB24" i="1"/>
  <c r="AB21" i="1"/>
  <c r="W141" i="1"/>
  <c r="T114" i="1"/>
  <c r="W111" i="1"/>
  <c r="W102" i="1"/>
  <c r="X101" i="1"/>
  <c r="W87" i="1"/>
  <c r="S43" i="1"/>
  <c r="W22" i="1"/>
  <c r="X105" i="1"/>
  <c r="V87" i="1"/>
  <c r="AB77" i="1"/>
  <c r="V65" i="1"/>
  <c r="AB43" i="1"/>
  <c r="V22" i="1"/>
  <c r="V160" i="1"/>
  <c r="U141" i="1"/>
  <c r="X102" i="1"/>
  <c r="X75" i="1"/>
  <c r="U65" i="1"/>
  <c r="R59" i="1"/>
  <c r="U22" i="1"/>
  <c r="T19" i="1"/>
  <c r="AB146" i="1"/>
  <c r="AB113" i="1"/>
  <c r="AB18" i="1"/>
  <c r="U147" i="1"/>
  <c r="V111" i="1"/>
  <c r="T93" i="1"/>
  <c r="W75" i="1"/>
  <c r="T65" i="1"/>
  <c r="V62" i="1"/>
  <c r="U50" i="1"/>
  <c r="V44" i="1"/>
  <c r="T40" i="1"/>
  <c r="AB25" i="1"/>
  <c r="X11" i="1"/>
  <c r="X8" i="1"/>
  <c r="X4" i="1"/>
  <c r="X155" i="1"/>
  <c r="AB148" i="1"/>
  <c r="Y147" i="1"/>
  <c r="X145" i="1"/>
  <c r="U136" i="1"/>
  <c r="W124" i="1"/>
  <c r="V118" i="1"/>
  <c r="V106" i="1"/>
  <c r="U93" i="1"/>
  <c r="Z93" i="1" s="1"/>
  <c r="AC93" i="1" s="1"/>
  <c r="AD93" i="1" s="1"/>
  <c r="AE93" i="1" s="1"/>
  <c r="U80" i="1"/>
  <c r="V73" i="1"/>
  <c r="W61" i="1"/>
  <c r="R50" i="1"/>
  <c r="X47" i="1"/>
  <c r="W39" i="1"/>
  <c r="W33" i="1"/>
  <c r="V30" i="1"/>
  <c r="W26" i="1"/>
  <c r="X22" i="1"/>
  <c r="W19" i="1"/>
  <c r="T15" i="1"/>
  <c r="T158" i="1"/>
  <c r="Y148" i="1"/>
  <c r="X147" i="1"/>
  <c r="U118" i="1"/>
  <c r="U115" i="1"/>
  <c r="U106" i="1"/>
  <c r="T80" i="1"/>
  <c r="U64" i="1"/>
  <c r="Z64" i="1" s="1"/>
  <c r="AC64" i="1" s="1"/>
  <c r="AD64" i="1" s="1"/>
  <c r="AE64" i="1" s="1"/>
  <c r="U43" i="1"/>
  <c r="U30" i="1"/>
  <c r="W147" i="1"/>
  <c r="AB107" i="1"/>
  <c r="T106" i="1"/>
  <c r="Y58" i="1"/>
  <c r="V147" i="1"/>
  <c r="X107" i="1"/>
  <c r="X58" i="1"/>
  <c r="T148" i="1"/>
  <c r="AB136" i="1"/>
  <c r="U107" i="1"/>
  <c r="AB93" i="1"/>
  <c r="Y62" i="1"/>
  <c r="AB28" i="1"/>
  <c r="T22" i="1"/>
  <c r="U10" i="1"/>
  <c r="AB2" i="1"/>
  <c r="T152" i="1"/>
  <c r="X119" i="1"/>
  <c r="AB118" i="1"/>
  <c r="X31" i="1"/>
  <c r="X7" i="1"/>
  <c r="W122" i="1"/>
  <c r="X62" i="1"/>
  <c r="X40" i="1"/>
  <c r="W31" i="1"/>
  <c r="X10" i="1"/>
  <c r="W7" i="1"/>
  <c r="W2" i="1"/>
  <c r="X152" i="1"/>
  <c r="X149" i="1"/>
  <c r="AB130" i="1"/>
  <c r="W125" i="1"/>
  <c r="W62" i="1"/>
  <c r="T59" i="1"/>
  <c r="R55" i="1"/>
  <c r="S55" i="1" s="1"/>
  <c r="AB47" i="1"/>
  <c r="W40" i="1"/>
  <c r="V31" i="1"/>
  <c r="W10" i="1"/>
  <c r="V7" i="1"/>
  <c r="V2" i="1"/>
  <c r="X148" i="1"/>
  <c r="U133" i="1"/>
  <c r="AB124" i="1"/>
  <c r="W119" i="1"/>
  <c r="W107" i="1"/>
  <c r="W149" i="1"/>
  <c r="V148" i="1"/>
  <c r="U122" i="1"/>
  <c r="U119" i="1"/>
  <c r="X111" i="1"/>
  <c r="W88" i="1"/>
  <c r="V77" i="1"/>
  <c r="U74" i="1"/>
  <c r="X70" i="1"/>
  <c r="U58" i="1"/>
  <c r="U37" i="1"/>
  <c r="U31" i="1"/>
  <c r="U7" i="1"/>
  <c r="U2" i="1"/>
  <c r="X2" i="1"/>
  <c r="X125" i="1"/>
  <c r="W58" i="1"/>
  <c r="V149" i="1"/>
  <c r="U142" i="1"/>
  <c r="U125" i="1"/>
  <c r="T119" i="1"/>
  <c r="T107" i="1"/>
  <c r="R101" i="1"/>
  <c r="S101" i="1" s="1"/>
  <c r="X98" i="1"/>
  <c r="V88" i="1"/>
  <c r="AB87" i="1"/>
  <c r="X59" i="1"/>
  <c r="T28" i="1"/>
  <c r="R78" i="1"/>
  <c r="S78" i="1" s="1"/>
  <c r="R23" i="1"/>
  <c r="S23" i="1" s="1"/>
  <c r="U78" i="1"/>
  <c r="V139" i="1"/>
  <c r="U114" i="1"/>
  <c r="Z114" i="1" s="1"/>
  <c r="AC114" i="1" s="1"/>
  <c r="AD114" i="1" s="1"/>
  <c r="AE114" i="1" s="1"/>
  <c r="U113" i="1"/>
  <c r="Y18" i="1"/>
  <c r="AB152" i="1"/>
  <c r="U139" i="1"/>
  <c r="R135" i="1"/>
  <c r="S135" i="1" s="1"/>
  <c r="AB128" i="1"/>
  <c r="U82" i="1"/>
  <c r="X64" i="1"/>
  <c r="U63" i="1"/>
  <c r="V41" i="1"/>
  <c r="V38" i="1"/>
  <c r="U29" i="1"/>
  <c r="AB31" i="1"/>
  <c r="AB45" i="1"/>
  <c r="U153" i="1"/>
  <c r="Z153" i="1" s="1"/>
  <c r="AC153" i="1" s="1"/>
  <c r="AD153" i="1" s="1"/>
  <c r="AE153" i="1" s="1"/>
  <c r="Y136" i="1"/>
  <c r="X114" i="1"/>
  <c r="V112" i="1"/>
  <c r="AB111" i="1"/>
  <c r="U102" i="1"/>
  <c r="Z102" i="1" s="1"/>
  <c r="AC102" i="1" s="1"/>
  <c r="AD102" i="1" s="1"/>
  <c r="AE102" i="1" s="1"/>
  <c r="X95" i="1"/>
  <c r="W89" i="1"/>
  <c r="T82" i="1"/>
  <c r="T79" i="1"/>
  <c r="W49" i="1"/>
  <c r="Z49" i="1" s="1"/>
  <c r="AC49" i="1" s="1"/>
  <c r="AD49" i="1" s="1"/>
  <c r="AE49" i="1" s="1"/>
  <c r="X42" i="1"/>
  <c r="U38" i="1"/>
  <c r="T29" i="1"/>
  <c r="V24" i="1"/>
  <c r="X161" i="1"/>
  <c r="X158" i="1"/>
  <c r="R139" i="1"/>
  <c r="S139" i="1" s="1"/>
  <c r="X136" i="1"/>
  <c r="W114" i="1"/>
  <c r="W113" i="1"/>
  <c r="Z113" i="1" s="1"/>
  <c r="AC113" i="1" s="1"/>
  <c r="AD113" i="1" s="1"/>
  <c r="AE113" i="1" s="1"/>
  <c r="W109" i="1"/>
  <c r="X83" i="1"/>
  <c r="X68" i="1"/>
  <c r="W42" i="1"/>
  <c r="X25" i="1"/>
  <c r="X18" i="1"/>
  <c r="T140" i="1"/>
  <c r="Z140" i="1" s="1"/>
  <c r="AC140" i="1" s="1"/>
  <c r="AD140" i="1" s="1"/>
  <c r="AE140" i="1" s="1"/>
  <c r="W139" i="1"/>
  <c r="AB135" i="1"/>
  <c r="W99" i="1"/>
  <c r="X93" i="1"/>
  <c r="X80" i="1"/>
  <c r="W68" i="1"/>
  <c r="X60" i="1"/>
  <c r="W25" i="1"/>
  <c r="AB122" i="1"/>
  <c r="V161" i="1"/>
  <c r="W158" i="1"/>
  <c r="R129" i="1"/>
  <c r="X118" i="1"/>
  <c r="U109" i="1"/>
  <c r="V99" i="1"/>
  <c r="W93" i="1"/>
  <c r="V68" i="1"/>
  <c r="AB56" i="1"/>
  <c r="X50" i="1"/>
  <c r="V25" i="1"/>
  <c r="U161" i="1"/>
  <c r="X140" i="1"/>
  <c r="V136" i="1"/>
  <c r="X124" i="1"/>
  <c r="W118" i="1"/>
  <c r="W106" i="1"/>
  <c r="AB102" i="1"/>
  <c r="U99" i="1"/>
  <c r="V93" i="1"/>
  <c r="V76" i="1"/>
  <c r="X65" i="1"/>
  <c r="AB60" i="1"/>
  <c r="W50" i="1"/>
  <c r="T42" i="1"/>
  <c r="X33" i="1"/>
  <c r="X26" i="1"/>
  <c r="R12" i="1"/>
  <c r="S12" i="1" s="1"/>
  <c r="R162" i="1"/>
  <c r="S162" i="1" s="1"/>
  <c r="T162" i="1"/>
  <c r="V146" i="1"/>
  <c r="V144" i="1"/>
  <c r="U138" i="1"/>
  <c r="U131" i="1"/>
  <c r="W110" i="1"/>
  <c r="X106" i="1"/>
  <c r="Z106" i="1" s="1"/>
  <c r="AC106" i="1" s="1"/>
  <c r="AD106" i="1" s="1"/>
  <c r="AE106" i="1" s="1"/>
  <c r="W92" i="1"/>
  <c r="T81" i="1"/>
  <c r="V74" i="1"/>
  <c r="X61" i="1"/>
  <c r="V50" i="1"/>
  <c r="U39" i="1"/>
  <c r="W30" i="1"/>
  <c r="R10" i="1"/>
  <c r="R131" i="1"/>
  <c r="S131" i="1" s="1"/>
  <c r="T131" i="1"/>
  <c r="R99" i="1"/>
  <c r="S99" i="1" s="1"/>
  <c r="R26" i="1"/>
  <c r="S26" i="1" s="1"/>
  <c r="T6" i="1"/>
  <c r="R85" i="1"/>
  <c r="S85" i="1" s="1"/>
  <c r="X85" i="1"/>
  <c r="R74" i="1"/>
  <c r="S74" i="1" s="1"/>
  <c r="T74" i="1"/>
  <c r="R69" i="1"/>
  <c r="S69" i="1" s="1"/>
  <c r="V6" i="1"/>
  <c r="Y6" i="1"/>
  <c r="AB162" i="1"/>
  <c r="V128" i="1"/>
  <c r="R125" i="1"/>
  <c r="S125" i="1" s="1"/>
  <c r="V125" i="1"/>
  <c r="V122" i="1"/>
  <c r="T92" i="1"/>
  <c r="U61" i="1"/>
  <c r="AB48" i="1"/>
  <c r="V40" i="1"/>
  <c r="S39" i="1"/>
  <c r="R30" i="1"/>
  <c r="S30" i="1" s="1"/>
  <c r="T30" i="1"/>
  <c r="Z30" i="1" s="1"/>
  <c r="AC30" i="1" s="1"/>
  <c r="AD30" i="1" s="1"/>
  <c r="AE30" i="1" s="1"/>
  <c r="AB16" i="1"/>
  <c r="AB138" i="1"/>
  <c r="AB131" i="1"/>
  <c r="AB53" i="1"/>
  <c r="AB6" i="1"/>
  <c r="AB144" i="1"/>
  <c r="R122" i="1"/>
  <c r="S122" i="1" s="1"/>
  <c r="T122" i="1"/>
  <c r="X116" i="1"/>
  <c r="Y116" i="1"/>
  <c r="U66" i="1"/>
  <c r="Y66" i="1"/>
  <c r="AB20" i="1"/>
  <c r="R151" i="1"/>
  <c r="S151" i="1" s="1"/>
  <c r="X128" i="1"/>
  <c r="W128" i="1"/>
  <c r="Y122" i="1"/>
  <c r="X122" i="1"/>
  <c r="AB110" i="1"/>
  <c r="AB92" i="1"/>
  <c r="AB78" i="1"/>
  <c r="T46" i="1"/>
  <c r="R46" i="1"/>
  <c r="S46" i="1" s="1"/>
  <c r="AB30" i="1"/>
  <c r="R156" i="1"/>
  <c r="S156" i="1" s="1"/>
  <c r="R145" i="1"/>
  <c r="S145" i="1" s="1"/>
  <c r="AB116" i="1"/>
  <c r="AB106" i="1"/>
  <c r="AB66" i="1"/>
  <c r="AB61" i="1"/>
  <c r="W160" i="1"/>
  <c r="X160" i="1"/>
  <c r="AB125" i="1"/>
  <c r="X120" i="1"/>
  <c r="X86" i="1"/>
  <c r="W79" i="1"/>
  <c r="Y79" i="1"/>
  <c r="R7" i="1"/>
  <c r="S7" i="1" s="1"/>
  <c r="AB151" i="1"/>
  <c r="W86" i="1"/>
  <c r="AB85" i="1"/>
  <c r="AB46" i="1"/>
  <c r="T7" i="1"/>
  <c r="Z3" i="1"/>
  <c r="AC3" i="1" s="1"/>
  <c r="AD3" i="1" s="1"/>
  <c r="AE3" i="1" s="1"/>
  <c r="AB160" i="1"/>
  <c r="AB156" i="1"/>
  <c r="X154" i="1"/>
  <c r="R136" i="1"/>
  <c r="S136" i="1" s="1"/>
  <c r="T136" i="1"/>
  <c r="Y129" i="1"/>
  <c r="U129" i="1"/>
  <c r="U126" i="1"/>
  <c r="U123" i="1"/>
  <c r="U117" i="1"/>
  <c r="V86" i="1"/>
  <c r="AB82" i="1"/>
  <c r="U67" i="1"/>
  <c r="U62" i="1"/>
  <c r="W47" i="1"/>
  <c r="W15" i="1"/>
  <c r="R157" i="1"/>
  <c r="S157" i="1" s="1"/>
  <c r="W154" i="1"/>
  <c r="AB132" i="1"/>
  <c r="S129" i="1"/>
  <c r="R123" i="1"/>
  <c r="S123" i="1" s="1"/>
  <c r="T123" i="1"/>
  <c r="U120" i="1"/>
  <c r="T117" i="1"/>
  <c r="R117" i="1"/>
  <c r="S117" i="1" s="1"/>
  <c r="U86" i="1"/>
  <c r="W76" i="1"/>
  <c r="T67" i="1"/>
  <c r="R67" i="1"/>
  <c r="S67" i="1" s="1"/>
  <c r="T62" i="1"/>
  <c r="W38" i="1"/>
  <c r="R22" i="1"/>
  <c r="S22" i="1" s="1"/>
  <c r="R2" i="1"/>
  <c r="S2" i="1" s="1"/>
  <c r="V154" i="1"/>
  <c r="W130" i="1"/>
  <c r="T86" i="1"/>
  <c r="AB23" i="1"/>
  <c r="T161" i="1"/>
  <c r="R161" i="1"/>
  <c r="S161" i="1" s="1"/>
  <c r="T47" i="1"/>
  <c r="R47" i="1"/>
  <c r="S47" i="1" s="1"/>
  <c r="W23" i="1"/>
  <c r="Y161" i="1"/>
  <c r="W161" i="1"/>
  <c r="V158" i="1"/>
  <c r="T154" i="1"/>
  <c r="R153" i="1"/>
  <c r="S153" i="1" s="1"/>
  <c r="U130" i="1"/>
  <c r="AB126" i="1"/>
  <c r="AB123" i="1"/>
  <c r="AB117" i="1"/>
  <c r="W105" i="1"/>
  <c r="V91" i="1"/>
  <c r="Y80" i="1"/>
  <c r="W80" i="1"/>
  <c r="U73" i="1"/>
  <c r="AB67" i="1"/>
  <c r="R63" i="1"/>
  <c r="S63" i="1" s="1"/>
  <c r="AB62" i="1"/>
  <c r="U8" i="1"/>
  <c r="T130" i="1"/>
  <c r="AB86" i="1"/>
  <c r="T73" i="1"/>
  <c r="T44" i="1"/>
  <c r="T39" i="1"/>
  <c r="Y130" i="1"/>
  <c r="X130" i="1"/>
  <c r="R94" i="1"/>
  <c r="S94" i="1" s="1"/>
  <c r="R91" i="1"/>
  <c r="S91" i="1" s="1"/>
  <c r="T91" i="1"/>
  <c r="X81" i="1"/>
  <c r="AB80" i="1"/>
  <c r="K72" i="1"/>
  <c r="AB72" i="1" s="1"/>
  <c r="Y73" i="1"/>
  <c r="X48" i="1"/>
  <c r="X45" i="1"/>
  <c r="W44" i="1"/>
  <c r="X44" i="1"/>
  <c r="AB157" i="1"/>
  <c r="X138" i="1"/>
  <c r="Y91" i="1"/>
  <c r="X91" i="1"/>
  <c r="W91" i="1"/>
  <c r="W81" i="1"/>
  <c r="T69" i="1"/>
  <c r="W48" i="1"/>
  <c r="AB40" i="1"/>
  <c r="X39" i="1"/>
  <c r="AB38" i="1"/>
  <c r="T35" i="1"/>
  <c r="R32" i="1"/>
  <c r="S32" i="1" s="1"/>
  <c r="X23" i="1"/>
  <c r="X9" i="1"/>
  <c r="V162" i="1"/>
  <c r="U150" i="1"/>
  <c r="W138" i="1"/>
  <c r="W131" i="1"/>
  <c r="T118" i="1"/>
  <c r="R118" i="1"/>
  <c r="S118" i="1" s="1"/>
  <c r="X99" i="1"/>
  <c r="AB73" i="1"/>
  <c r="R16" i="1"/>
  <c r="S16" i="1" s="1"/>
  <c r="W9" i="1"/>
  <c r="AB8" i="1"/>
  <c r="W144" i="1"/>
  <c r="X139" i="1"/>
  <c r="V138" i="1"/>
  <c r="R106" i="1"/>
  <c r="S106" i="1" s="1"/>
  <c r="U81" i="1"/>
  <c r="U45" i="1"/>
  <c r="V39" i="1"/>
  <c r="AB29" i="1"/>
  <c r="R25" i="1"/>
  <c r="S25" i="1" s="1"/>
  <c r="AB22" i="1"/>
  <c r="W20" i="1"/>
  <c r="AB19" i="1"/>
  <c r="V9" i="1"/>
  <c r="W162" i="1"/>
  <c r="R160" i="1"/>
  <c r="S160" i="1" s="1"/>
  <c r="V131" i="1"/>
  <c r="X110" i="1"/>
  <c r="V80" i="1"/>
  <c r="U79" i="1"/>
  <c r="T66" i="1"/>
  <c r="X38" i="1"/>
  <c r="AB37" i="1"/>
  <c r="U34" i="1"/>
  <c r="X30" i="1"/>
  <c r="V29" i="1"/>
  <c r="U12" i="1"/>
  <c r="R6" i="1"/>
  <c r="S6" i="1" s="1"/>
  <c r="AB158" i="1"/>
  <c r="AB133" i="1"/>
  <c r="T129" i="1"/>
  <c r="W28" i="1"/>
  <c r="AB9" i="1"/>
  <c r="V155" i="1"/>
  <c r="V141" i="1"/>
  <c r="W127" i="1"/>
  <c r="R115" i="1"/>
  <c r="S115" i="1" s="1"/>
  <c r="X109" i="1"/>
  <c r="W104" i="1"/>
  <c r="R100" i="1"/>
  <c r="S100" i="1" s="1"/>
  <c r="R96" i="1"/>
  <c r="X90" i="1"/>
  <c r="U70" i="1"/>
  <c r="AB69" i="1"/>
  <c r="W65" i="1"/>
  <c r="X55" i="1"/>
  <c r="AB54" i="1"/>
  <c r="U51" i="1"/>
  <c r="U42" i="1"/>
  <c r="R27" i="1"/>
  <c r="S27" i="1" s="1"/>
  <c r="W18" i="1"/>
  <c r="V11" i="1"/>
  <c r="X5" i="1"/>
  <c r="R89" i="1"/>
  <c r="S89" i="1" s="1"/>
  <c r="U160" i="1"/>
  <c r="U159" i="1"/>
  <c r="X143" i="1"/>
  <c r="X142" i="1"/>
  <c r="Z142" i="1" s="1"/>
  <c r="AC142" i="1" s="1"/>
  <c r="AD142" i="1" s="1"/>
  <c r="AE142" i="1" s="1"/>
  <c r="X135" i="1"/>
  <c r="AB89" i="1"/>
  <c r="AB83" i="1"/>
  <c r="AB63" i="1"/>
  <c r="X28" i="1"/>
  <c r="W143" i="1"/>
  <c r="X129" i="1"/>
  <c r="AB127" i="1"/>
  <c r="T115" i="1"/>
  <c r="V109" i="1"/>
  <c r="W78" i="1"/>
  <c r="X66" i="1"/>
  <c r="U59" i="1"/>
  <c r="AB58" i="1"/>
  <c r="V55" i="1"/>
  <c r="Z55" i="1" s="1"/>
  <c r="AC55" i="1" s="1"/>
  <c r="AD55" i="1" s="1"/>
  <c r="AE55" i="1" s="1"/>
  <c r="W52" i="1"/>
  <c r="AB50" i="1"/>
  <c r="AB41" i="1"/>
  <c r="T27" i="1"/>
  <c r="T26" i="1"/>
  <c r="Z26" i="1" s="1"/>
  <c r="AC26" i="1" s="1"/>
  <c r="AD26" i="1" s="1"/>
  <c r="AE26" i="1" s="1"/>
  <c r="X19" i="1"/>
  <c r="S10" i="1"/>
  <c r="R3" i="1"/>
  <c r="AB120" i="1"/>
  <c r="R114" i="1"/>
  <c r="S114" i="1" s="1"/>
  <c r="AB98" i="1"/>
  <c r="AB159" i="1"/>
  <c r="V143" i="1"/>
  <c r="AB139" i="1"/>
  <c r="W137" i="1"/>
  <c r="R134" i="1"/>
  <c r="S134" i="1" s="1"/>
  <c r="AB114" i="1"/>
  <c r="W101" i="1"/>
  <c r="AB99" i="1"/>
  <c r="X79" i="1"/>
  <c r="R71" i="1"/>
  <c r="S71" i="1" s="1"/>
  <c r="W66" i="1"/>
  <c r="V52" i="1"/>
  <c r="X34" i="1"/>
  <c r="AB33" i="1"/>
  <c r="X15" i="1"/>
  <c r="AB14" i="1"/>
  <c r="AB10" i="1"/>
  <c r="X6" i="1"/>
  <c r="AB149" i="1"/>
  <c r="AB134" i="1"/>
  <c r="X131" i="1"/>
  <c r="X123" i="1"/>
  <c r="S96" i="1"/>
  <c r="X73" i="1"/>
  <c r="W56" i="1"/>
  <c r="U52" i="1"/>
  <c r="X46" i="1"/>
  <c r="W45" i="1"/>
  <c r="AB42" i="1"/>
  <c r="X29" i="1"/>
  <c r="V19" i="1"/>
  <c r="W6" i="1"/>
  <c r="X162" i="1"/>
  <c r="AB155" i="1"/>
  <c r="AB153" i="1"/>
  <c r="T143" i="1"/>
  <c r="R128" i="1"/>
  <c r="S128" i="1" s="1"/>
  <c r="W123" i="1"/>
  <c r="W116" i="1"/>
  <c r="AB115" i="1"/>
  <c r="AB104" i="1"/>
  <c r="U101" i="1"/>
  <c r="X92" i="1"/>
  <c r="V79" i="1"/>
  <c r="W73" i="1"/>
  <c r="T60" i="1"/>
  <c r="S59" i="1"/>
  <c r="W46" i="1"/>
  <c r="V45" i="1"/>
  <c r="U44" i="1"/>
  <c r="V34" i="1"/>
  <c r="W29" i="1"/>
  <c r="U19" i="1"/>
  <c r="V15" i="1"/>
  <c r="U4" i="1"/>
  <c r="Z4" i="1" s="1"/>
  <c r="AC4" i="1" s="1"/>
  <c r="AD4" i="1" s="1"/>
  <c r="AE4" i="1" s="1"/>
  <c r="V132" i="1"/>
  <c r="R132" i="1"/>
  <c r="S132" i="1" s="1"/>
  <c r="X108" i="1"/>
  <c r="V107" i="1"/>
  <c r="R107" i="1"/>
  <c r="S107" i="1" s="1"/>
  <c r="R65" i="1"/>
  <c r="S65" i="1" s="1"/>
  <c r="V156" i="1"/>
  <c r="W156" i="1"/>
  <c r="X156" i="1"/>
  <c r="Y156" i="1"/>
  <c r="T138" i="1"/>
  <c r="R138" i="1"/>
  <c r="S138" i="1" s="1"/>
  <c r="W108" i="1"/>
  <c r="T54" i="1"/>
  <c r="R54" i="1"/>
  <c r="S54" i="1" s="1"/>
  <c r="V108" i="1"/>
  <c r="R66" i="1"/>
  <c r="S66" i="1" s="1"/>
  <c r="R154" i="1"/>
  <c r="S154" i="1" s="1"/>
  <c r="Y132" i="1"/>
  <c r="T132" i="1"/>
  <c r="T121" i="1"/>
  <c r="U121" i="1"/>
  <c r="V121" i="1"/>
  <c r="W121" i="1"/>
  <c r="X121" i="1"/>
  <c r="Y121" i="1"/>
  <c r="AB121" i="1"/>
  <c r="T58" i="1"/>
  <c r="R58" i="1"/>
  <c r="S58" i="1" s="1"/>
  <c r="Y36" i="1"/>
  <c r="T36" i="1"/>
  <c r="U36" i="1"/>
  <c r="X36" i="1"/>
  <c r="AB36" i="1"/>
  <c r="Y103" i="1"/>
  <c r="T103" i="1"/>
  <c r="R33" i="1"/>
  <c r="S33" i="1" s="1"/>
  <c r="T33" i="1"/>
  <c r="R150" i="1"/>
  <c r="T150" i="1"/>
  <c r="R142" i="1"/>
  <c r="S142" i="1" s="1"/>
  <c r="T108" i="1"/>
  <c r="Y108" i="1"/>
  <c r="T159" i="1"/>
  <c r="R159" i="1"/>
  <c r="S159" i="1" s="1"/>
  <c r="V150" i="1"/>
  <c r="W150" i="1"/>
  <c r="X150" i="1"/>
  <c r="Y150" i="1"/>
  <c r="AB150" i="1"/>
  <c r="AB103" i="1"/>
  <c r="U143" i="1"/>
  <c r="R143" i="1"/>
  <c r="S143" i="1" s="1"/>
  <c r="V126" i="1"/>
  <c r="R126" i="1"/>
  <c r="S126" i="1" s="1"/>
  <c r="R133" i="1"/>
  <c r="S133" i="1" s="1"/>
  <c r="T133" i="1"/>
  <c r="V119" i="1"/>
  <c r="R119" i="1"/>
  <c r="S119" i="1" s="1"/>
  <c r="X137" i="1"/>
  <c r="R109" i="1"/>
  <c r="S109" i="1" s="1"/>
  <c r="T109" i="1"/>
  <c r="R90" i="1"/>
  <c r="S90" i="1" s="1"/>
  <c r="T90" i="1"/>
  <c r="V137" i="1"/>
  <c r="R137" i="1"/>
  <c r="S137" i="1" s="1"/>
  <c r="W120" i="1"/>
  <c r="T155" i="1"/>
  <c r="R155" i="1"/>
  <c r="S155" i="1" s="1"/>
  <c r="U137" i="1"/>
  <c r="R144" i="1"/>
  <c r="S144" i="1" s="1"/>
  <c r="T144" i="1"/>
  <c r="Y137" i="1"/>
  <c r="T137" i="1"/>
  <c r="R120" i="1"/>
  <c r="S120" i="1" s="1"/>
  <c r="T120" i="1"/>
  <c r="R97" i="1"/>
  <c r="S97" i="1" s="1"/>
  <c r="T97" i="1"/>
  <c r="X144" i="1"/>
  <c r="Y144" i="1"/>
  <c r="R127" i="1"/>
  <c r="S127" i="1" s="1"/>
  <c r="T127" i="1"/>
  <c r="T110" i="1"/>
  <c r="R110" i="1"/>
  <c r="S110" i="1" s="1"/>
  <c r="V97" i="1"/>
  <c r="X97" i="1"/>
  <c r="Y97" i="1"/>
  <c r="AB11" i="1"/>
  <c r="U149" i="1"/>
  <c r="Z149" i="1" s="1"/>
  <c r="AC149" i="1" s="1"/>
  <c r="AD149" i="1" s="1"/>
  <c r="AE149" i="1" s="1"/>
  <c r="R149" i="1"/>
  <c r="S149" i="1" s="1"/>
  <c r="Z41" i="1"/>
  <c r="AC41" i="1" s="1"/>
  <c r="AD41" i="1" s="1"/>
  <c r="AE41" i="1" s="1"/>
  <c r="U15" i="1"/>
  <c r="Z15" i="1" s="1"/>
  <c r="AC15" i="1" s="1"/>
  <c r="AD15" i="1" s="1"/>
  <c r="AE15" i="1" s="1"/>
  <c r="R15" i="1"/>
  <c r="X132" i="1"/>
  <c r="AB97" i="1"/>
  <c r="R158" i="1"/>
  <c r="S158" i="1" s="1"/>
  <c r="Z157" i="1"/>
  <c r="AC157" i="1" s="1"/>
  <c r="AD157" i="1" s="1"/>
  <c r="AE157" i="1" s="1"/>
  <c r="U156" i="1"/>
  <c r="W132" i="1"/>
  <c r="Y12" i="1"/>
  <c r="T12" i="1"/>
  <c r="X12" i="1"/>
  <c r="U162" i="1"/>
  <c r="U154" i="1"/>
  <c r="T126" i="1"/>
  <c r="V103" i="1"/>
  <c r="W97" i="1"/>
  <c r="T95" i="1"/>
  <c r="Y88" i="1"/>
  <c r="AB88" i="1"/>
  <c r="U84" i="1"/>
  <c r="W74" i="1"/>
  <c r="V57" i="1"/>
  <c r="W57" i="1"/>
  <c r="X57" i="1"/>
  <c r="Y57" i="1"/>
  <c r="AB57" i="1"/>
  <c r="U53" i="1"/>
  <c r="V53" i="1"/>
  <c r="Y53" i="1"/>
  <c r="AB39" i="1"/>
  <c r="V36" i="1"/>
  <c r="R36" i="1"/>
  <c r="S36" i="1" s="1"/>
  <c r="U103" i="1"/>
  <c r="R84" i="1"/>
  <c r="S84" i="1" s="1"/>
  <c r="T84" i="1"/>
  <c r="Y32" i="1"/>
  <c r="T32" i="1"/>
  <c r="X32" i="1"/>
  <c r="AB32" i="1"/>
  <c r="W12" i="1"/>
  <c r="R11" i="1"/>
  <c r="S11" i="1" s="1"/>
  <c r="T11" i="1"/>
  <c r="V120" i="1"/>
  <c r="R111" i="1"/>
  <c r="S111" i="1" s="1"/>
  <c r="R108" i="1"/>
  <c r="S108" i="1" s="1"/>
  <c r="U97" i="1"/>
  <c r="U96" i="1"/>
  <c r="X96" i="1"/>
  <c r="Y96" i="1"/>
  <c r="AB96" i="1"/>
  <c r="V84" i="1"/>
  <c r="W84" i="1"/>
  <c r="V12" i="1"/>
  <c r="S150" i="1"/>
  <c r="U132" i="1"/>
  <c r="R104" i="1"/>
  <c r="S104" i="1" s="1"/>
  <c r="T104" i="1"/>
  <c r="T98" i="1"/>
  <c r="R98" i="1"/>
  <c r="S98" i="1" s="1"/>
  <c r="Z69" i="1"/>
  <c r="AC69" i="1" s="1"/>
  <c r="AD69" i="1" s="1"/>
  <c r="AE69" i="1" s="1"/>
  <c r="W54" i="1"/>
  <c r="X54" i="1"/>
  <c r="Y54" i="1"/>
  <c r="R37" i="1"/>
  <c r="S37" i="1" s="1"/>
  <c r="T37" i="1"/>
  <c r="U33" i="1"/>
  <c r="V33" i="1"/>
  <c r="Y33" i="1"/>
  <c r="S15" i="1"/>
  <c r="Y134" i="1"/>
  <c r="V115" i="1"/>
  <c r="U104" i="1"/>
  <c r="X104" i="1"/>
  <c r="Y104" i="1"/>
  <c r="W98" i="1"/>
  <c r="U98" i="1"/>
  <c r="V98" i="1"/>
  <c r="AB91" i="1"/>
  <c r="R76" i="1"/>
  <c r="S76" i="1" s="1"/>
  <c r="R48" i="1"/>
  <c r="S48" i="1" s="1"/>
  <c r="U48" i="1"/>
  <c r="V37" i="1"/>
  <c r="X37" i="1"/>
  <c r="Y37" i="1"/>
  <c r="Y16" i="1"/>
  <c r="T16" i="1"/>
  <c r="U16" i="1"/>
  <c r="X16" i="1"/>
  <c r="W13" i="1"/>
  <c r="U6" i="1"/>
  <c r="Z71" i="1"/>
  <c r="AC71" i="1" s="1"/>
  <c r="AD71" i="1" s="1"/>
  <c r="AE71" i="1" s="1"/>
  <c r="R68" i="1"/>
  <c r="S68" i="1" s="1"/>
  <c r="U68" i="1"/>
  <c r="U158" i="1"/>
  <c r="AB143" i="1"/>
  <c r="T105" i="1"/>
  <c r="R105" i="1"/>
  <c r="S105" i="1" s="1"/>
  <c r="R82" i="1"/>
  <c r="S82" i="1" s="1"/>
  <c r="T38" i="1"/>
  <c r="R38" i="1"/>
  <c r="S38" i="1" s="1"/>
  <c r="AB137" i="1"/>
  <c r="V134" i="1"/>
  <c r="AB119" i="1"/>
  <c r="U105" i="1"/>
  <c r="V105" i="1"/>
  <c r="AB95" i="1"/>
  <c r="R79" i="1"/>
  <c r="S79" i="1" s="1"/>
  <c r="T75" i="1"/>
  <c r="Y68" i="1"/>
  <c r="AB68" i="1"/>
  <c r="R49" i="1"/>
  <c r="S49" i="1" s="1"/>
  <c r="R17" i="1"/>
  <c r="S17" i="1" s="1"/>
  <c r="T17" i="1"/>
  <c r="R13" i="1"/>
  <c r="S13" i="1" s="1"/>
  <c r="T13" i="1"/>
  <c r="V5" i="1"/>
  <c r="R5" i="1"/>
  <c r="S5" i="1" s="1"/>
  <c r="Y95" i="1"/>
  <c r="Y75" i="1"/>
  <c r="AB75" i="1"/>
  <c r="V17" i="1"/>
  <c r="W17" i="1"/>
  <c r="U17" i="1"/>
  <c r="X17" i="1"/>
  <c r="Y17" i="1"/>
  <c r="U13" i="1"/>
  <c r="V13" i="1"/>
  <c r="Y13" i="1"/>
  <c r="AB108" i="1"/>
  <c r="Y101" i="1"/>
  <c r="W95" i="1"/>
  <c r="R81" i="1"/>
  <c r="S81" i="1" s="1"/>
  <c r="R80" i="1"/>
  <c r="S80" i="1" s="1"/>
  <c r="V56" i="1"/>
  <c r="R56" i="1"/>
  <c r="S56" i="1" s="1"/>
  <c r="AB35" i="1"/>
  <c r="T34" i="1"/>
  <c r="R34" i="1"/>
  <c r="S34" i="1" s="1"/>
  <c r="Y159" i="1"/>
  <c r="W152" i="1"/>
  <c r="W146" i="1"/>
  <c r="Z146" i="1" s="1"/>
  <c r="AC146" i="1" s="1"/>
  <c r="AD146" i="1" s="1"/>
  <c r="AE146" i="1" s="1"/>
  <c r="W135" i="1"/>
  <c r="U128" i="1"/>
  <c r="R116" i="1"/>
  <c r="S116" i="1" s="1"/>
  <c r="V116" i="1"/>
  <c r="V95" i="1"/>
  <c r="U88" i="1"/>
  <c r="R51" i="1"/>
  <c r="S51" i="1" s="1"/>
  <c r="T51" i="1"/>
  <c r="S50" i="1"/>
  <c r="W34" i="1"/>
  <c r="Y34" i="1"/>
  <c r="R28" i="1"/>
  <c r="S28" i="1" s="1"/>
  <c r="U28" i="1"/>
  <c r="AB13" i="1"/>
  <c r="AB154" i="1"/>
  <c r="V152" i="1"/>
  <c r="R147" i="1"/>
  <c r="S147" i="1" s="1"/>
  <c r="T147" i="1"/>
  <c r="R141" i="1"/>
  <c r="S141" i="1" s="1"/>
  <c r="T141" i="1"/>
  <c r="V135" i="1"/>
  <c r="Y133" i="1"/>
  <c r="W129" i="1"/>
  <c r="V123" i="1"/>
  <c r="T96" i="1"/>
  <c r="T94" i="1"/>
  <c r="Z94" i="1" s="1"/>
  <c r="AC94" i="1" s="1"/>
  <c r="AD94" i="1" s="1"/>
  <c r="AE94" i="1" s="1"/>
  <c r="T88" i="1"/>
  <c r="W83" i="1"/>
  <c r="R77" i="1"/>
  <c r="S77" i="1" s="1"/>
  <c r="T77" i="1"/>
  <c r="T18" i="1"/>
  <c r="R18" i="1"/>
  <c r="S18" i="1" s="1"/>
  <c r="T156" i="1"/>
  <c r="U152" i="1"/>
  <c r="U135" i="1"/>
  <c r="X133" i="1"/>
  <c r="R130" i="1"/>
  <c r="S130" i="1" s="1"/>
  <c r="V129" i="1"/>
  <c r="R124" i="1"/>
  <c r="S124" i="1" s="1"/>
  <c r="T124" i="1"/>
  <c r="X115" i="1"/>
  <c r="Y115" i="1"/>
  <c r="W100" i="1"/>
  <c r="Z100" i="1" s="1"/>
  <c r="AC100" i="1" s="1"/>
  <c r="AD100" i="1" s="1"/>
  <c r="AE100" i="1" s="1"/>
  <c r="R95" i="1"/>
  <c r="S95" i="1" s="1"/>
  <c r="T89" i="1"/>
  <c r="X88" i="1"/>
  <c r="Y84" i="1"/>
  <c r="R83" i="1"/>
  <c r="S83" i="1" s="1"/>
  <c r="V83" i="1"/>
  <c r="AB81" i="1"/>
  <c r="R70" i="1"/>
  <c r="S70" i="1" s="1"/>
  <c r="T70" i="1"/>
  <c r="Y56" i="1"/>
  <c r="T56" i="1"/>
  <c r="U56" i="1"/>
  <c r="X56" i="1"/>
  <c r="X53" i="1"/>
  <c r="R52" i="1"/>
  <c r="S52" i="1" s="1"/>
  <c r="V14" i="1"/>
  <c r="V159" i="1"/>
  <c r="T135" i="1"/>
  <c r="W133" i="1"/>
  <c r="Y127" i="1"/>
  <c r="T116" i="1"/>
  <c r="U116" i="1"/>
  <c r="R102" i="1"/>
  <c r="S102" i="1" s="1"/>
  <c r="T101" i="1"/>
  <c r="X84" i="1"/>
  <c r="U83" i="1"/>
  <c r="W53" i="1"/>
  <c r="AB51" i="1"/>
  <c r="R29" i="1"/>
  <c r="S29" i="1" s="1"/>
  <c r="AB15" i="1"/>
  <c r="U14" i="1"/>
  <c r="R9" i="1"/>
  <c r="S9" i="1" s="1"/>
  <c r="V133" i="1"/>
  <c r="X127" i="1"/>
  <c r="T111" i="1"/>
  <c r="U108" i="1"/>
  <c r="R103" i="1"/>
  <c r="S103" i="1" s="1"/>
  <c r="W32" i="1"/>
  <c r="T14" i="1"/>
  <c r="R14" i="1"/>
  <c r="S14" i="1" s="1"/>
  <c r="X103" i="1"/>
  <c r="W96" i="1"/>
  <c r="R87" i="1"/>
  <c r="S87" i="1" s="1"/>
  <c r="Y83" i="1"/>
  <c r="T83" i="1"/>
  <c r="X67" i="1"/>
  <c r="U57" i="1"/>
  <c r="U35" i="1"/>
  <c r="Z35" i="1" s="1"/>
  <c r="AC35" i="1" s="1"/>
  <c r="AD35" i="1" s="1"/>
  <c r="AE35" i="1" s="1"/>
  <c r="R35" i="1"/>
  <c r="S35" i="1" s="1"/>
  <c r="V32" i="1"/>
  <c r="W14" i="1"/>
  <c r="X14" i="1"/>
  <c r="Y14" i="1"/>
  <c r="AB140" i="1"/>
  <c r="AB105" i="1"/>
  <c r="W103" i="1"/>
  <c r="V101" i="1"/>
  <c r="V96" i="1"/>
  <c r="U95" i="1"/>
  <c r="W67" i="1"/>
  <c r="R57" i="1"/>
  <c r="S57" i="1" s="1"/>
  <c r="T57" i="1"/>
  <c r="R53" i="1"/>
  <c r="S53" i="1" s="1"/>
  <c r="T53" i="1"/>
  <c r="U32" i="1"/>
  <c r="AB12" i="1"/>
  <c r="R88" i="1"/>
  <c r="S88" i="1" s="1"/>
  <c r="V81" i="1"/>
  <c r="Z81" i="1" s="1"/>
  <c r="AC81" i="1" s="1"/>
  <c r="AD81" i="1" s="1"/>
  <c r="AE81" i="1" s="1"/>
  <c r="U75" i="1"/>
  <c r="X74" i="1"/>
  <c r="V48" i="1"/>
  <c r="AB34" i="1"/>
  <c r="R31" i="1"/>
  <c r="S31" i="1" s="1"/>
  <c r="T31" i="1"/>
  <c r="Z31" i="1" s="1"/>
  <c r="AC31" i="1" s="1"/>
  <c r="AD31" i="1" s="1"/>
  <c r="AE31" i="1" s="1"/>
  <c r="V28" i="1"/>
  <c r="R8" i="1"/>
  <c r="S8" i="1" s="1"/>
  <c r="R62" i="1"/>
  <c r="S62" i="1" s="1"/>
  <c r="X43" i="1"/>
  <c r="T5" i="1"/>
  <c r="T87" i="1"/>
  <c r="Y87" i="1"/>
  <c r="AB76" i="1"/>
  <c r="T45" i="1"/>
  <c r="T25" i="1"/>
  <c r="U24" i="1"/>
  <c r="AB101" i="1"/>
  <c r="AB74" i="1"/>
  <c r="R73" i="1"/>
  <c r="S73" i="1" s="1"/>
  <c r="R44" i="1"/>
  <c r="S44" i="1" s="1"/>
  <c r="R24" i="1"/>
  <c r="S24" i="1" s="1"/>
  <c r="R19" i="1"/>
  <c r="S19" i="1" s="1"/>
  <c r="R4" i="1"/>
  <c r="S4" i="1" s="1"/>
  <c r="R113" i="1"/>
  <c r="S113" i="1" s="1"/>
  <c r="AB94" i="1"/>
  <c r="R93" i="1"/>
  <c r="S93" i="1" s="1"/>
  <c r="R72" i="1"/>
  <c r="S72" i="1" s="1"/>
  <c r="R64" i="1"/>
  <c r="S64" i="1" s="1"/>
  <c r="AB52" i="1"/>
  <c r="U112" i="1"/>
  <c r="R92" i="1"/>
  <c r="S92" i="1" s="1"/>
  <c r="Y76" i="1"/>
  <c r="V60" i="1"/>
  <c r="R41" i="1"/>
  <c r="S41" i="1" s="1"/>
  <c r="R21" i="1"/>
  <c r="S21" i="1" s="1"/>
  <c r="R112" i="1"/>
  <c r="S112" i="1" s="1"/>
  <c r="X76" i="1"/>
  <c r="R61" i="1"/>
  <c r="S61" i="1" s="1"/>
  <c r="T43" i="1"/>
  <c r="Y43" i="1"/>
  <c r="R40" i="1"/>
  <c r="S40" i="1" s="1"/>
  <c r="T23" i="1"/>
  <c r="U23" i="1"/>
  <c r="Y23" i="1"/>
  <c r="R20" i="1"/>
  <c r="S20" i="1" s="1"/>
  <c r="S3" i="1"/>
  <c r="T85" i="1"/>
  <c r="Z85" i="1" s="1"/>
  <c r="AC85" i="1" s="1"/>
  <c r="AD85" i="1" s="1"/>
  <c r="AE85" i="1" s="1"/>
  <c r="T78" i="1"/>
  <c r="U76" i="1"/>
  <c r="T63" i="1"/>
  <c r="Y63" i="1"/>
  <c r="R60" i="1"/>
  <c r="S60" i="1" s="1"/>
  <c r="X52" i="1"/>
  <c r="U40" i="1"/>
  <c r="Y40" i="1"/>
  <c r="W37" i="1"/>
  <c r="U20" i="1"/>
  <c r="V20" i="1"/>
  <c r="Y20" i="1"/>
  <c r="W16" i="1"/>
  <c r="AB7" i="1"/>
  <c r="R121" i="1"/>
  <c r="S121" i="1" s="1"/>
  <c r="W77" i="1"/>
  <c r="U60" i="1"/>
  <c r="Y60" i="1"/>
  <c r="W36" i="1"/>
  <c r="V16" i="1"/>
  <c r="X13" i="1"/>
  <c r="T2" i="1"/>
  <c r="Y7" i="1"/>
  <c r="Z7" i="1" l="1"/>
  <c r="AC7" i="1" s="1"/>
  <c r="AD7" i="1" s="1"/>
  <c r="AE7" i="1" s="1"/>
  <c r="Z74" i="1"/>
  <c r="AC74" i="1" s="1"/>
  <c r="AD74" i="1" s="1"/>
  <c r="AE74" i="1" s="1"/>
  <c r="Z22" i="1"/>
  <c r="AC22" i="1" s="1"/>
  <c r="AD22" i="1" s="1"/>
  <c r="AE22" i="1" s="1"/>
  <c r="Z10" i="1"/>
  <c r="AC10" i="1" s="1"/>
  <c r="AD10" i="1" s="1"/>
  <c r="AE10" i="1" s="1"/>
  <c r="Z112" i="1"/>
  <c r="AC112" i="1" s="1"/>
  <c r="AD112" i="1" s="1"/>
  <c r="AE112" i="1" s="1"/>
  <c r="Z101" i="1"/>
  <c r="AC101" i="1" s="1"/>
  <c r="AD101" i="1" s="1"/>
  <c r="AE101" i="1" s="1"/>
  <c r="Z145" i="1"/>
  <c r="AC145" i="1" s="1"/>
  <c r="AD145" i="1" s="1"/>
  <c r="AE145" i="1" s="1"/>
  <c r="Z90" i="1"/>
  <c r="AC90" i="1" s="1"/>
  <c r="AD90" i="1" s="1"/>
  <c r="AE90" i="1" s="1"/>
  <c r="Z62" i="1"/>
  <c r="AC62" i="1" s="1"/>
  <c r="AD62" i="1" s="1"/>
  <c r="AE62" i="1" s="1"/>
  <c r="Z78" i="1"/>
  <c r="AC78" i="1" s="1"/>
  <c r="AD78" i="1" s="1"/>
  <c r="AE78" i="1" s="1"/>
  <c r="Z125" i="1"/>
  <c r="AC125" i="1" s="1"/>
  <c r="AD125" i="1" s="1"/>
  <c r="AE125" i="1" s="1"/>
  <c r="Z50" i="1"/>
  <c r="AC50" i="1" s="1"/>
  <c r="AD50" i="1" s="1"/>
  <c r="AE50" i="1" s="1"/>
  <c r="Z89" i="1"/>
  <c r="AC89" i="1" s="1"/>
  <c r="AD89" i="1" s="1"/>
  <c r="AE89" i="1" s="1"/>
  <c r="Z39" i="1"/>
  <c r="AC39" i="1" s="1"/>
  <c r="AD39" i="1" s="1"/>
  <c r="AE39" i="1" s="1"/>
  <c r="Z61" i="1"/>
  <c r="AC61" i="1" s="1"/>
  <c r="AD61" i="1" s="1"/>
  <c r="AE61" i="1" s="1"/>
  <c r="Z148" i="1"/>
  <c r="AC148" i="1" s="1"/>
  <c r="AD148" i="1" s="1"/>
  <c r="AE148" i="1" s="1"/>
  <c r="Z8" i="1"/>
  <c r="AC8" i="1" s="1"/>
  <c r="AD8" i="1" s="1"/>
  <c r="AE8" i="1" s="1"/>
  <c r="Z111" i="1"/>
  <c r="AC111" i="1" s="1"/>
  <c r="AD111" i="1" s="1"/>
  <c r="AE111" i="1" s="1"/>
  <c r="Z147" i="1"/>
  <c r="AC147" i="1" s="1"/>
  <c r="AD147" i="1" s="1"/>
  <c r="AE147" i="1" s="1"/>
  <c r="Z29" i="1"/>
  <c r="AC29" i="1" s="1"/>
  <c r="AD29" i="1" s="1"/>
  <c r="AE29" i="1" s="1"/>
  <c r="Z82" i="1"/>
  <c r="AC82" i="1" s="1"/>
  <c r="AD82" i="1" s="1"/>
  <c r="AE82" i="1" s="1"/>
  <c r="Z46" i="1"/>
  <c r="AC46" i="1" s="1"/>
  <c r="AD46" i="1" s="1"/>
  <c r="AE46" i="1" s="1"/>
  <c r="Z143" i="1"/>
  <c r="AC143" i="1" s="1"/>
  <c r="AD143" i="1" s="1"/>
  <c r="AE143" i="1" s="1"/>
  <c r="Z47" i="1"/>
  <c r="AC47" i="1" s="1"/>
  <c r="AD47" i="1" s="1"/>
  <c r="AE47" i="1" s="1"/>
  <c r="Z80" i="1"/>
  <c r="AC80" i="1" s="1"/>
  <c r="AD80" i="1" s="1"/>
  <c r="AE80" i="1" s="1"/>
  <c r="Z107" i="1"/>
  <c r="AC107" i="1" s="1"/>
  <c r="AD107" i="1" s="1"/>
  <c r="AE107" i="1" s="1"/>
  <c r="Z65" i="1"/>
  <c r="AC65" i="1" s="1"/>
  <c r="AD65" i="1" s="1"/>
  <c r="AE65" i="1" s="1"/>
  <c r="Z5" i="1"/>
  <c r="AC5" i="1" s="1"/>
  <c r="AD5" i="1" s="1"/>
  <c r="AE5" i="1" s="1"/>
  <c r="Z11" i="1"/>
  <c r="AC11" i="1" s="1"/>
  <c r="AD11" i="1" s="1"/>
  <c r="AE11" i="1" s="1"/>
  <c r="Z88" i="1"/>
  <c r="AC88" i="1" s="1"/>
  <c r="AD88" i="1" s="1"/>
  <c r="AE88" i="1" s="1"/>
  <c r="Z51" i="1"/>
  <c r="AC51" i="1" s="1"/>
  <c r="AD51" i="1" s="1"/>
  <c r="AE51" i="1" s="1"/>
  <c r="Z139" i="1"/>
  <c r="AC139" i="1" s="1"/>
  <c r="AD139" i="1" s="1"/>
  <c r="AE139" i="1" s="1"/>
  <c r="Z130" i="1"/>
  <c r="AC130" i="1" s="1"/>
  <c r="AD130" i="1" s="1"/>
  <c r="AE130" i="1" s="1"/>
  <c r="Z117" i="1"/>
  <c r="AC117" i="1" s="1"/>
  <c r="AD117" i="1" s="1"/>
  <c r="AE117" i="1" s="1"/>
  <c r="Z28" i="1"/>
  <c r="AC28" i="1" s="1"/>
  <c r="AD28" i="1" s="1"/>
  <c r="AE28" i="1" s="1"/>
  <c r="Z119" i="1"/>
  <c r="AC119" i="1" s="1"/>
  <c r="AD119" i="1" s="1"/>
  <c r="AE119" i="1" s="1"/>
  <c r="Z68" i="1"/>
  <c r="AC68" i="1" s="1"/>
  <c r="AD68" i="1" s="1"/>
  <c r="AE68" i="1" s="1"/>
  <c r="Z79" i="1"/>
  <c r="AC79" i="1" s="1"/>
  <c r="AD79" i="1" s="1"/>
  <c r="AE79" i="1" s="1"/>
  <c r="Z9" i="1"/>
  <c r="AC9" i="1" s="1"/>
  <c r="AD9" i="1" s="1"/>
  <c r="AE9" i="1" s="1"/>
  <c r="Z158" i="1"/>
  <c r="AC158" i="1" s="1"/>
  <c r="AD158" i="1" s="1"/>
  <c r="AE158" i="1" s="1"/>
  <c r="Z118" i="1"/>
  <c r="AC118" i="1" s="1"/>
  <c r="AD118" i="1" s="1"/>
  <c r="AE118" i="1" s="1"/>
  <c r="Z155" i="1"/>
  <c r="AC155" i="1" s="1"/>
  <c r="AD155" i="1" s="1"/>
  <c r="AE155" i="1" s="1"/>
  <c r="Z124" i="1"/>
  <c r="AC124" i="1" s="1"/>
  <c r="AD124" i="1" s="1"/>
  <c r="AE124" i="1" s="1"/>
  <c r="Z91" i="1"/>
  <c r="AC91" i="1" s="1"/>
  <c r="AD91" i="1" s="1"/>
  <c r="AE91" i="1" s="1"/>
  <c r="Z136" i="1"/>
  <c r="AC136" i="1" s="1"/>
  <c r="AD136" i="1" s="1"/>
  <c r="AE136" i="1" s="1"/>
  <c r="Z129" i="1"/>
  <c r="AC129" i="1" s="1"/>
  <c r="AD129" i="1" s="1"/>
  <c r="AE129" i="1" s="1"/>
  <c r="Z141" i="1"/>
  <c r="AC141" i="1" s="1"/>
  <c r="AD141" i="1" s="1"/>
  <c r="AE141" i="1" s="1"/>
  <c r="Z99" i="1"/>
  <c r="AC99" i="1" s="1"/>
  <c r="AD99" i="1" s="1"/>
  <c r="AE99" i="1" s="1"/>
  <c r="Z40" i="1"/>
  <c r="AC40" i="1" s="1"/>
  <c r="AD40" i="1" s="1"/>
  <c r="AE40" i="1" s="1"/>
  <c r="Z19" i="1"/>
  <c r="AC19" i="1" s="1"/>
  <c r="AD19" i="1" s="1"/>
  <c r="AE19" i="1" s="1"/>
  <c r="Z66" i="1"/>
  <c r="AC66" i="1" s="1"/>
  <c r="AD66" i="1" s="1"/>
  <c r="AE66" i="1" s="1"/>
  <c r="Z92" i="1"/>
  <c r="AC92" i="1" s="1"/>
  <c r="AD92" i="1" s="1"/>
  <c r="AE92" i="1" s="1"/>
  <c r="Z2" i="1"/>
  <c r="Z24" i="1"/>
  <c r="AC24" i="1" s="1"/>
  <c r="AD24" i="1" s="1"/>
  <c r="AE24" i="1" s="1"/>
  <c r="Z59" i="1"/>
  <c r="AC59" i="1" s="1"/>
  <c r="AD59" i="1" s="1"/>
  <c r="AE59" i="1" s="1"/>
  <c r="Z76" i="1"/>
  <c r="AC76" i="1" s="1"/>
  <c r="AD76" i="1" s="1"/>
  <c r="AE76" i="1" s="1"/>
  <c r="Z25" i="1"/>
  <c r="AC25" i="1" s="1"/>
  <c r="AD25" i="1" s="1"/>
  <c r="AE25" i="1" s="1"/>
  <c r="Z70" i="1"/>
  <c r="AC70" i="1" s="1"/>
  <c r="AD70" i="1" s="1"/>
  <c r="AE70" i="1" s="1"/>
  <c r="Z34" i="1"/>
  <c r="AC34" i="1" s="1"/>
  <c r="AD34" i="1" s="1"/>
  <c r="AE34" i="1" s="1"/>
  <c r="Z52" i="1"/>
  <c r="AC52" i="1" s="1"/>
  <c r="AD52" i="1" s="1"/>
  <c r="AE52" i="1" s="1"/>
  <c r="Z18" i="1"/>
  <c r="AC18" i="1" s="1"/>
  <c r="AD18" i="1" s="1"/>
  <c r="AE18" i="1" s="1"/>
  <c r="Z58" i="1"/>
  <c r="AC58" i="1" s="1"/>
  <c r="AD58" i="1" s="1"/>
  <c r="AE58" i="1" s="1"/>
  <c r="Z42" i="1"/>
  <c r="AC42" i="1" s="1"/>
  <c r="AD42" i="1" s="1"/>
  <c r="AE42" i="1" s="1"/>
  <c r="Y72" i="1"/>
  <c r="W72" i="1"/>
  <c r="T72" i="1"/>
  <c r="Z162" i="1"/>
  <c r="AC162" i="1" s="1"/>
  <c r="AD162" i="1" s="1"/>
  <c r="AE162" i="1" s="1"/>
  <c r="Z73" i="1"/>
  <c r="AC73" i="1" s="1"/>
  <c r="AD73" i="1" s="1"/>
  <c r="AE73" i="1" s="1"/>
  <c r="Z48" i="1"/>
  <c r="AC48" i="1" s="1"/>
  <c r="AD48" i="1" s="1"/>
  <c r="AE48" i="1" s="1"/>
  <c r="Z60" i="1"/>
  <c r="AC60" i="1" s="1"/>
  <c r="AD60" i="1" s="1"/>
  <c r="AE60" i="1" s="1"/>
  <c r="Z86" i="1"/>
  <c r="AC86" i="1" s="1"/>
  <c r="AD86" i="1" s="1"/>
  <c r="AE86" i="1" s="1"/>
  <c r="V72" i="1"/>
  <c r="Z33" i="1"/>
  <c r="AC33" i="1" s="1"/>
  <c r="AD33" i="1" s="1"/>
  <c r="AE33" i="1" s="1"/>
  <c r="X72" i="1"/>
  <c r="Z128" i="1"/>
  <c r="AC128" i="1" s="1"/>
  <c r="AD128" i="1" s="1"/>
  <c r="AE128" i="1" s="1"/>
  <c r="Z120" i="1"/>
  <c r="AC120" i="1" s="1"/>
  <c r="AD120" i="1" s="1"/>
  <c r="AE120" i="1" s="1"/>
  <c r="Z144" i="1"/>
  <c r="AC144" i="1" s="1"/>
  <c r="AD144" i="1" s="1"/>
  <c r="AE144" i="1" s="1"/>
  <c r="Z67" i="1"/>
  <c r="AC67" i="1" s="1"/>
  <c r="AD67" i="1" s="1"/>
  <c r="AE67" i="1" s="1"/>
  <c r="Z45" i="1"/>
  <c r="AC45" i="1" s="1"/>
  <c r="AD45" i="1" s="1"/>
  <c r="AE45" i="1" s="1"/>
  <c r="Z83" i="1"/>
  <c r="AC83" i="1" s="1"/>
  <c r="AD83" i="1" s="1"/>
  <c r="AE83" i="1" s="1"/>
  <c r="Z23" i="1"/>
  <c r="AC23" i="1" s="1"/>
  <c r="AD23" i="1" s="1"/>
  <c r="AE23" i="1" s="1"/>
  <c r="Z87" i="1"/>
  <c r="AC87" i="1" s="1"/>
  <c r="AD87" i="1" s="1"/>
  <c r="AE87" i="1" s="1"/>
  <c r="Z57" i="1"/>
  <c r="AC57" i="1" s="1"/>
  <c r="AD57" i="1" s="1"/>
  <c r="AE57" i="1" s="1"/>
  <c r="Z44" i="1"/>
  <c r="AC44" i="1" s="1"/>
  <c r="AD44" i="1" s="1"/>
  <c r="AE44" i="1" s="1"/>
  <c r="Z134" i="1"/>
  <c r="AC134" i="1" s="1"/>
  <c r="AD134" i="1" s="1"/>
  <c r="AE134" i="1" s="1"/>
  <c r="Z161" i="1"/>
  <c r="AC161" i="1" s="1"/>
  <c r="AD161" i="1" s="1"/>
  <c r="AE161" i="1" s="1"/>
  <c r="Z6" i="1"/>
  <c r="AC6" i="1" s="1"/>
  <c r="AD6" i="1" s="1"/>
  <c r="AE6" i="1" s="1"/>
  <c r="Z110" i="1"/>
  <c r="AC110" i="1" s="1"/>
  <c r="AD110" i="1" s="1"/>
  <c r="AE110" i="1" s="1"/>
  <c r="Z138" i="1"/>
  <c r="AC138" i="1" s="1"/>
  <c r="AD138" i="1" s="1"/>
  <c r="AE138" i="1" s="1"/>
  <c r="Z122" i="1"/>
  <c r="AC122" i="1" s="1"/>
  <c r="AD122" i="1" s="1"/>
  <c r="AE122" i="1" s="1"/>
  <c r="Z20" i="1"/>
  <c r="AC20" i="1" s="1"/>
  <c r="AD20" i="1" s="1"/>
  <c r="AE20" i="1" s="1"/>
  <c r="Z123" i="1"/>
  <c r="AC123" i="1" s="1"/>
  <c r="AD123" i="1" s="1"/>
  <c r="AE123" i="1" s="1"/>
  <c r="Z160" i="1"/>
  <c r="AC160" i="1" s="1"/>
  <c r="AD160" i="1" s="1"/>
  <c r="AE160" i="1" s="1"/>
  <c r="Z131" i="1"/>
  <c r="AC131" i="1" s="1"/>
  <c r="AD131" i="1" s="1"/>
  <c r="AE131" i="1" s="1"/>
  <c r="U72" i="1"/>
  <c r="Z13" i="1"/>
  <c r="AC13" i="1" s="1"/>
  <c r="AD13" i="1" s="1"/>
  <c r="AE13" i="1" s="1"/>
  <c r="Z109" i="1"/>
  <c r="AC109" i="1" s="1"/>
  <c r="AD109" i="1" s="1"/>
  <c r="AE109" i="1" s="1"/>
  <c r="Z38" i="1"/>
  <c r="AC38" i="1" s="1"/>
  <c r="AD38" i="1" s="1"/>
  <c r="AE38" i="1" s="1"/>
  <c r="Z115" i="1"/>
  <c r="AC115" i="1" s="1"/>
  <c r="AD115" i="1" s="1"/>
  <c r="AE115" i="1" s="1"/>
  <c r="Z63" i="1"/>
  <c r="AC63" i="1" s="1"/>
  <c r="AD63" i="1" s="1"/>
  <c r="AE63" i="1" s="1"/>
  <c r="Z154" i="1"/>
  <c r="AC154" i="1" s="1"/>
  <c r="AD154" i="1" s="1"/>
  <c r="AE154" i="1" s="1"/>
  <c r="Z12" i="1"/>
  <c r="AC12" i="1" s="1"/>
  <c r="AD12" i="1" s="1"/>
  <c r="AE12" i="1" s="1"/>
  <c r="Z103" i="1"/>
  <c r="AC103" i="1" s="1"/>
  <c r="AD103" i="1" s="1"/>
  <c r="AE103" i="1" s="1"/>
  <c r="Z137" i="1"/>
  <c r="AC137" i="1" s="1"/>
  <c r="AD137" i="1" s="1"/>
  <c r="AE137" i="1" s="1"/>
  <c r="Z14" i="1"/>
  <c r="AC14" i="1" s="1"/>
  <c r="AD14" i="1" s="1"/>
  <c r="AE14" i="1" s="1"/>
  <c r="Z98" i="1"/>
  <c r="AC98" i="1" s="1"/>
  <c r="AD98" i="1" s="1"/>
  <c r="AE98" i="1" s="1"/>
  <c r="Z104" i="1"/>
  <c r="AC104" i="1" s="1"/>
  <c r="AD104" i="1" s="1"/>
  <c r="AE104" i="1" s="1"/>
  <c r="Z54" i="1"/>
  <c r="AC54" i="1" s="1"/>
  <c r="AD54" i="1" s="1"/>
  <c r="AE54" i="1" s="1"/>
  <c r="Z56" i="1"/>
  <c r="AC56" i="1" s="1"/>
  <c r="AD56" i="1" s="1"/>
  <c r="AE56" i="1" s="1"/>
  <c r="Z17" i="1"/>
  <c r="AC17" i="1" s="1"/>
  <c r="AD17" i="1" s="1"/>
  <c r="AE17" i="1" s="1"/>
  <c r="Z36" i="1"/>
  <c r="AC36" i="1" s="1"/>
  <c r="AD36" i="1" s="1"/>
  <c r="AE36" i="1" s="1"/>
  <c r="Z152" i="1"/>
  <c r="AC152" i="1" s="1"/>
  <c r="AD152" i="1" s="1"/>
  <c r="AE152" i="1" s="1"/>
  <c r="Z16" i="1"/>
  <c r="AC16" i="1" s="1"/>
  <c r="AD16" i="1" s="1"/>
  <c r="AE16" i="1" s="1"/>
  <c r="Z43" i="1"/>
  <c r="AC43" i="1" s="1"/>
  <c r="AD43" i="1" s="1"/>
  <c r="AE43" i="1" s="1"/>
  <c r="Z156" i="1"/>
  <c r="AC156" i="1" s="1"/>
  <c r="AD156" i="1" s="1"/>
  <c r="AE156" i="1" s="1"/>
  <c r="Z105" i="1"/>
  <c r="AC105" i="1" s="1"/>
  <c r="AD105" i="1" s="1"/>
  <c r="AE105" i="1" s="1"/>
  <c r="Z159" i="1"/>
  <c r="AC159" i="1" s="1"/>
  <c r="AD159" i="1" s="1"/>
  <c r="AE159" i="1" s="1"/>
  <c r="Z32" i="1"/>
  <c r="AC32" i="1" s="1"/>
  <c r="AD32" i="1" s="1"/>
  <c r="AE32" i="1" s="1"/>
  <c r="Z133" i="1"/>
  <c r="AC133" i="1" s="1"/>
  <c r="AD133" i="1" s="1"/>
  <c r="AE133" i="1" s="1"/>
  <c r="Z97" i="1"/>
  <c r="AC97" i="1" s="1"/>
  <c r="AD97" i="1" s="1"/>
  <c r="AE97" i="1" s="1"/>
  <c r="Z116" i="1"/>
  <c r="AC116" i="1" s="1"/>
  <c r="AD116" i="1" s="1"/>
  <c r="AE116" i="1" s="1"/>
  <c r="Z77" i="1"/>
  <c r="AC77" i="1" s="1"/>
  <c r="AD77" i="1" s="1"/>
  <c r="AE77" i="1" s="1"/>
  <c r="Z75" i="1"/>
  <c r="AC75" i="1" s="1"/>
  <c r="AD75" i="1" s="1"/>
  <c r="AE75" i="1" s="1"/>
  <c r="Z84" i="1"/>
  <c r="AC84" i="1" s="1"/>
  <c r="AD84" i="1" s="1"/>
  <c r="AE84" i="1" s="1"/>
  <c r="Z95" i="1"/>
  <c r="AC95" i="1" s="1"/>
  <c r="AD95" i="1" s="1"/>
  <c r="AE95" i="1" s="1"/>
  <c r="Z108" i="1"/>
  <c r="AC108" i="1" s="1"/>
  <c r="AD108" i="1" s="1"/>
  <c r="AE108" i="1" s="1"/>
  <c r="Z96" i="1"/>
  <c r="AC96" i="1" s="1"/>
  <c r="AD96" i="1" s="1"/>
  <c r="AE96" i="1" s="1"/>
  <c r="Z37" i="1"/>
  <c r="AC37" i="1" s="1"/>
  <c r="AD37" i="1" s="1"/>
  <c r="AE37" i="1" s="1"/>
  <c r="Z150" i="1"/>
  <c r="AC150" i="1" s="1"/>
  <c r="AD150" i="1" s="1"/>
  <c r="AE150" i="1" s="1"/>
  <c r="Z127" i="1"/>
  <c r="AC127" i="1" s="1"/>
  <c r="AD127" i="1" s="1"/>
  <c r="AE127" i="1" s="1"/>
  <c r="Z135" i="1"/>
  <c r="AC135" i="1" s="1"/>
  <c r="AD135" i="1" s="1"/>
  <c r="AE135" i="1" s="1"/>
  <c r="Z121" i="1"/>
  <c r="AC121" i="1" s="1"/>
  <c r="AD121" i="1" s="1"/>
  <c r="AE121" i="1" s="1"/>
  <c r="Z53" i="1"/>
  <c r="AC53" i="1" s="1"/>
  <c r="AD53" i="1" s="1"/>
  <c r="AE53" i="1" s="1"/>
  <c r="Z126" i="1"/>
  <c r="AC126" i="1" s="1"/>
  <c r="AD126" i="1" s="1"/>
  <c r="AE126" i="1" s="1"/>
  <c r="Z132" i="1"/>
  <c r="AC132" i="1" s="1"/>
  <c r="AD132" i="1" s="1"/>
  <c r="AE132" i="1" s="1"/>
  <c r="Z72" i="1" l="1"/>
  <c r="AC72" i="1" s="1"/>
  <c r="AD72" i="1" s="1"/>
  <c r="AE7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Alejandra Ayala</author>
  </authors>
  <commentList>
    <comment ref="D1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Alejandra Ayala:</t>
        </r>
        <r>
          <rPr>
            <sz val="9"/>
            <color indexed="81"/>
            <rFont val="Tahoma"/>
            <family val="2"/>
          </rPr>
          <t xml:space="preserve">
Se va a servicios en noviembre 
</t>
        </r>
      </text>
    </comment>
  </commentList>
</comments>
</file>

<file path=xl/sharedStrings.xml><?xml version="1.0" encoding="utf-8"?>
<sst xmlns="http://schemas.openxmlformats.org/spreadsheetml/2006/main" count="514" uniqueCount="189">
  <si>
    <t>VP6XPH-18K459-BA</t>
  </si>
  <si>
    <t>032</t>
  </si>
  <si>
    <t>21B3</t>
  </si>
  <si>
    <t>FC2B1F2SGZ01</t>
  </si>
  <si>
    <t>W525100-S437</t>
  </si>
  <si>
    <t>FC2B1F2SMG01</t>
  </si>
  <si>
    <t>VPGV6H-048B60-DA</t>
  </si>
  <si>
    <t>VPJL3H-048B60-AA</t>
  </si>
  <si>
    <t>VPJL3H-048B60-CA</t>
  </si>
  <si>
    <t>FC1B1F2S1H01</t>
  </si>
  <si>
    <t>DM1S1F2S1A01</t>
  </si>
  <si>
    <t>1W1H-19E889-HAS300</t>
  </si>
  <si>
    <t>VP9ASH-19E889-BA</t>
  </si>
  <si>
    <t>4644047-003</t>
  </si>
  <si>
    <t>VP9ASH-19E778-BA</t>
  </si>
  <si>
    <t>FC1C0F2S8L01</t>
  </si>
  <si>
    <t>FC1Z0F2S9N01</t>
  </si>
  <si>
    <t>YR3H-9911-FA0105AE</t>
  </si>
  <si>
    <t>VPJL3H-048B60-DA</t>
  </si>
  <si>
    <t>FC2B1F2STA02</t>
  </si>
  <si>
    <t>VPJL3H-048B60-EA</t>
  </si>
  <si>
    <t>VP6L2H-19E778-FC</t>
  </si>
  <si>
    <t>00218472-01-0000</t>
  </si>
  <si>
    <t>FC1Z0F2S6F02</t>
  </si>
  <si>
    <t>VPDG9H-19E778-AA</t>
  </si>
  <si>
    <t>FC1C0F2SBC01</t>
  </si>
  <si>
    <t>E3EH-19D701-A2A</t>
  </si>
  <si>
    <t>VP9ASH-19E889-DA</t>
  </si>
  <si>
    <t>YR3H-18K459-AAA</t>
  </si>
  <si>
    <t>VP9ASH-19E778-KA</t>
  </si>
  <si>
    <t>VPAR3H-19E778-AA</t>
  </si>
  <si>
    <t>FC1A5F2S1N01</t>
  </si>
  <si>
    <t>VP9ASH-19E778-DA</t>
  </si>
  <si>
    <t>VP7L2H-19E778-AB</t>
  </si>
  <si>
    <t>VP7GCH-19E778-AA</t>
  </si>
  <si>
    <t>FC1B3F2S1V01</t>
  </si>
  <si>
    <t>FC1A3F2S6E01</t>
  </si>
  <si>
    <t>VP6L2H-19E778-DA</t>
  </si>
  <si>
    <t>1L2H-048B60-LA</t>
  </si>
  <si>
    <t>VPEMMH-19D702-AA</t>
  </si>
  <si>
    <t>VPDG9H-19E778-CA</t>
  </si>
  <si>
    <t>VP8L8H-19A593-BA</t>
  </si>
  <si>
    <t>VP9L3H-19E778-FA</t>
  </si>
  <si>
    <t>FC1B6F2SAB01</t>
  </si>
  <si>
    <t>YC1H-18N332-AA</t>
  </si>
  <si>
    <t>FC1C0F2SBF01</t>
  </si>
  <si>
    <t>YR3H-18K459-HAA</t>
  </si>
  <si>
    <t>VPDG9H-19E778-BA</t>
  </si>
  <si>
    <t>FC1B4F2S2E01</t>
  </si>
  <si>
    <t>FC1Z0G8V0A02</t>
  </si>
  <si>
    <t>FC1B4F2S2D01</t>
  </si>
  <si>
    <t>VP9L3H-19E778-CA</t>
  </si>
  <si>
    <t>FC1A3F2S6C01</t>
  </si>
  <si>
    <t>FC2B2F2SSC01</t>
  </si>
  <si>
    <t>FC1A5F2S1L01</t>
  </si>
  <si>
    <t>VP9ASH-19E889-AA</t>
  </si>
  <si>
    <t>FC2G0F2SBH01</t>
  </si>
  <si>
    <t>FC1A3F2S6T01</t>
  </si>
  <si>
    <t>VPAH2H-50684-AA</t>
  </si>
  <si>
    <t>95874-S</t>
  </si>
  <si>
    <t>RM3G5-A</t>
  </si>
  <si>
    <t>F885-YEHAA-01</t>
  </si>
  <si>
    <t>VP6XPH-18K459-CA</t>
  </si>
  <si>
    <t>YR3H-18K459-BAA</t>
  </si>
  <si>
    <t>FC2B2F2S1K01</t>
  </si>
  <si>
    <t>FC1A3F2S6S01</t>
  </si>
  <si>
    <t>FC2C5F2S7T02</t>
  </si>
  <si>
    <t>1W1H-19E889-HAS100</t>
  </si>
  <si>
    <t>VPDG9H-19E778-FA</t>
  </si>
  <si>
    <t>VPDG9H-19E778-DA</t>
  </si>
  <si>
    <t>SF0600600</t>
  </si>
  <si>
    <t>RMPL00184</t>
  </si>
  <si>
    <t>YR3H-18K459-FAA</t>
  </si>
  <si>
    <t>FC2G0F2S6A01</t>
  </si>
  <si>
    <t>FC2B2F2SLG01</t>
  </si>
  <si>
    <t>W701890-S439</t>
  </si>
  <si>
    <t>FC2C5F2S3T02</t>
  </si>
  <si>
    <t>VP9ASH-19E889-CA</t>
  </si>
  <si>
    <t>FC2G0F2S5Y01</t>
  </si>
  <si>
    <t>FC2C5F2S8T02</t>
  </si>
  <si>
    <t>FC1Z0F2S3G02</t>
  </si>
  <si>
    <t>FC2B2F2SAY01</t>
  </si>
  <si>
    <t>VPDG9H-13N203-BB</t>
  </si>
  <si>
    <t>FC1B4F2S2G01</t>
  </si>
  <si>
    <t>FC2B2F2S5X01</t>
  </si>
  <si>
    <t>XW4H-19C708-AA</t>
  </si>
  <si>
    <t>FC1B4F2S2F01</t>
  </si>
  <si>
    <t>VP6XPH-19F552-D1A</t>
  </si>
  <si>
    <t>FC2B1F2SUB01</t>
  </si>
  <si>
    <t>1L2H-048B60-AA</t>
  </si>
  <si>
    <t>FC2C5F2S6T02</t>
  </si>
  <si>
    <t>FC2B1F2STB01</t>
  </si>
  <si>
    <t>FC2B1F2SMP02</t>
  </si>
  <si>
    <t>FC2G0F2SAG01</t>
  </si>
  <si>
    <t>VPJL3H-048B60-BA</t>
  </si>
  <si>
    <t>FC2G0F2SBG01</t>
  </si>
  <si>
    <t>VPHL3H-048B60-BA</t>
  </si>
  <si>
    <t>1W1H-19E889-EAS300</t>
  </si>
  <si>
    <t>FC1Z0F2SAK01</t>
  </si>
  <si>
    <t>FC1Z0F2S9H01</t>
  </si>
  <si>
    <t>SR0700101</t>
  </si>
  <si>
    <t>VPGR3H-048B60-BA</t>
  </si>
  <si>
    <t>VPGV6H-048B60-EA</t>
  </si>
  <si>
    <t>FC1Z0F2S9M01</t>
  </si>
  <si>
    <t>RMPL00173</t>
  </si>
  <si>
    <t>VPBK3H-19E754-KB</t>
  </si>
  <si>
    <t>FC2B1F2SMH01</t>
  </si>
  <si>
    <t>FC2C5F2S4T02</t>
  </si>
  <si>
    <t>1L2H-048B60-EA</t>
  </si>
  <si>
    <t>3L8H-19C708-B1A</t>
  </si>
  <si>
    <t>RMHR00073</t>
  </si>
  <si>
    <t>2GCH-19E750-CA</t>
  </si>
  <si>
    <t>6L2H-19E889-BBS300</t>
  </si>
  <si>
    <t>2GCH-19E750-DA</t>
  </si>
  <si>
    <t>VPDS7H-19D702-AA</t>
  </si>
  <si>
    <t>FC2B1F2SNN03</t>
  </si>
  <si>
    <t>VPHL3H-048B60-AA</t>
  </si>
  <si>
    <t>FC2B1F2SMO01</t>
  </si>
  <si>
    <t>VPHL3H-048B60-DA</t>
  </si>
  <si>
    <t>FC1Z0F2S7U01</t>
  </si>
  <si>
    <t>VPBK3H-19E754-JC</t>
  </si>
  <si>
    <t>FC1E1F2S3X01</t>
  </si>
  <si>
    <t>FC1Z0G8V0B02</t>
  </si>
  <si>
    <t>FC1Z0F2S5F01</t>
  </si>
  <si>
    <t>FC1Z0F2S7S02</t>
  </si>
  <si>
    <t>RMSA00034</t>
  </si>
  <si>
    <t>FC1U0YTHAA01</t>
  </si>
  <si>
    <t>4L2H-19C708-EA</t>
  </si>
  <si>
    <t>VPHL3H-048B60-CA</t>
  </si>
  <si>
    <t>VPBK3H-19C819-AA</t>
  </si>
  <si>
    <t>FC2G0F2SBF01</t>
  </si>
  <si>
    <t>FC2B1F2STE01</t>
  </si>
  <si>
    <t>FC2B1F2STD02</t>
  </si>
  <si>
    <t>3L8H-19C708-A1A</t>
  </si>
  <si>
    <t>YR3H-18K459-CAA</t>
  </si>
  <si>
    <t>VP9GCH-19A593-AC</t>
  </si>
  <si>
    <t>T30-RA3000-HS</t>
  </si>
  <si>
    <t>FC1Z0F2S9J01</t>
  </si>
  <si>
    <t>FC1B1F2S1G01</t>
  </si>
  <si>
    <t>FC1Z0F2S5G02</t>
  </si>
  <si>
    <t>FC1Z0F2SBF03</t>
  </si>
  <si>
    <t>FC1C0F2SCD01</t>
  </si>
  <si>
    <t>FC1U0YTHCA01</t>
  </si>
  <si>
    <t>FC2B1F2SMQ01</t>
  </si>
  <si>
    <t>6L2H-19E889-CB</t>
  </si>
  <si>
    <t>VP6L1H-19D701-AA</t>
  </si>
  <si>
    <t>00297627-01-0000</t>
  </si>
  <si>
    <t>FC2P0F2SAA03</t>
  </si>
  <si>
    <t>Z350-GY15-A01</t>
  </si>
  <si>
    <t>FC1Z0F2S7T01</t>
  </si>
  <si>
    <t>FC2B1F2SML03</t>
  </si>
  <si>
    <t>FC2P0F2SBA02</t>
  </si>
  <si>
    <t>FC2B1F2SED02</t>
  </si>
  <si>
    <t>VP9GCH-19A593-BC</t>
  </si>
  <si>
    <t>VP9L3H-19A593-CA</t>
  </si>
  <si>
    <t>VP6L1H-19D701-BA</t>
  </si>
  <si>
    <t>3L8H-19C708-D1A</t>
  </si>
  <si>
    <t>FC1Z0F2S7Q01</t>
  </si>
  <si>
    <t>6L2H-19E889-ABS300</t>
  </si>
  <si>
    <t>RM-3G58-D</t>
  </si>
  <si>
    <t>VP9L3H-19A593-DA</t>
  </si>
  <si>
    <t>VP9GCH-19A593-EC</t>
  </si>
  <si>
    <t>VPAM6H-19D701-AA</t>
  </si>
  <si>
    <t>Pz out</t>
  </si>
  <si>
    <t>Weeks out</t>
  </si>
  <si>
    <t>Target total</t>
  </si>
  <si>
    <t>Target</t>
  </si>
  <si>
    <t>Total Weeks</t>
  </si>
  <si>
    <t>SL2P</t>
  </si>
  <si>
    <t>QCHH</t>
  </si>
  <si>
    <t>PWIP</t>
  </si>
  <si>
    <t>DOCK</t>
  </si>
  <si>
    <t>1PPW</t>
  </si>
  <si>
    <t>Total amount</t>
  </si>
  <si>
    <t>Intransit</t>
  </si>
  <si>
    <t>weekly use</t>
  </si>
  <si>
    <t>Cost</t>
  </si>
  <si>
    <t>Lead Time</t>
  </si>
  <si>
    <t>Nation</t>
  </si>
  <si>
    <t>UM</t>
  </si>
  <si>
    <t>Supplier</t>
  </si>
  <si>
    <t>Description</t>
  </si>
  <si>
    <t>Number</t>
  </si>
  <si>
    <t>Analyst</t>
  </si>
  <si>
    <t>Plant</t>
  </si>
  <si>
    <t>Week of</t>
  </si>
  <si>
    <t>Total  PZ</t>
  </si>
  <si>
    <t xml:space="preserve">Transito </t>
  </si>
  <si>
    <t xml:space="preserve">Total USD 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</si>
</sst>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#,##0.0"/>
    <numFmt numFmtId="166" formatCode="&quot;$&quot;#,##0.00"/>
    <numFmt numFmtId="167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6">
    <xf numFmtId="0" fontId="0" fillId="0" borderId="0" xfId="0"/>
    <xf numFmtId="0" fontId="1" fillId="0" borderId="0" xfId="1"/>
    <xf numFmtId="164" fontId="2" fillId="3" borderId="0" xfId="2" applyFont="1" applyFill="1"/>
    <xf numFmtId="0" fontId="2" fillId="0" borderId="0" xfId="1" applyFont="1"/>
    <xf numFmtId="0" fontId="2" fillId="3" borderId="0" xfId="1" applyFont="1" applyFill="1"/>
    <xf numFmtId="164" fontId="2" fillId="0" borderId="0" xfId="2" applyFont="1"/>
    <xf numFmtId="0" fontId="2" fillId="0" borderId="0" xfId="1" applyFont="1" applyAlignment="1">
      <alignment horizontal="left"/>
    </xf>
    <xf numFmtId="164" fontId="3" fillId="3" borderId="0" xfId="2" applyFont="1" applyFill="1" applyBorder="1" applyAlignment="1">
      <alignment horizontal="center" vertical="top"/>
    </xf>
    <xf numFmtId="165" fontId="3" fillId="4" borderId="0" xfId="1" applyNumberFormat="1" applyFont="1" applyFill="1" applyAlignment="1">
      <alignment horizontal="center" vertical="top"/>
    </xf>
    <xf numFmtId="165" fontId="3" fillId="3" borderId="0" xfId="1" applyNumberFormat="1" applyFont="1" applyFill="1" applyAlignment="1">
      <alignment horizontal="center" vertical="top"/>
    </xf>
    <xf numFmtId="164" fontId="3" fillId="4" borderId="0" xfId="2" applyFont="1" applyFill="1" applyBorder="1" applyAlignment="1">
      <alignment horizontal="center" vertical="top"/>
    </xf>
    <xf numFmtId="165" fontId="3" fillId="5" borderId="0" xfId="1" applyNumberFormat="1" applyFont="1" applyFill="1" applyAlignment="1">
      <alignment horizontal="center" vertical="top"/>
    </xf>
    <xf numFmtId="166" fontId="4" fillId="3" borderId="0" xfId="3" applyNumberFormat="1" applyFont="1" applyFill="1" applyBorder="1" applyAlignment="1">
      <alignment horizontal="right" vertical="top"/>
    </xf>
    <xf numFmtId="38" fontId="5" fillId="3" borderId="0" xfId="1" applyNumberFormat="1" applyFont="1" applyFill="1" applyAlignment="1">
      <alignment horizontal="right" vertical="top"/>
    </xf>
    <xf numFmtId="38" fontId="3" fillId="6" borderId="0" xfId="1" applyNumberFormat="1" applyFont="1" applyFill="1" applyAlignment="1">
      <alignment horizontal="center" vertical="top"/>
    </xf>
    <xf numFmtId="38" fontId="3" fillId="0" borderId="0" xfId="1" applyNumberFormat="1" applyFont="1" applyAlignment="1">
      <alignment horizontal="center" vertical="top"/>
    </xf>
    <xf numFmtId="167" fontId="3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38" fontId="3" fillId="0" borderId="0" xfId="1" applyNumberFormat="1" applyFont="1" applyAlignment="1">
      <alignment horizontal="left" vertical="top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" vertical="top"/>
    </xf>
    <xf numFmtId="0" fontId="3" fillId="0" borderId="0" xfId="1" applyFont="1" applyAlignment="1">
      <alignment vertical="top"/>
    </xf>
    <xf numFmtId="14" fontId="3" fillId="0" borderId="0" xfId="1" applyNumberFormat="1" applyFont="1" applyAlignment="1">
      <alignment vertical="top"/>
    </xf>
    <xf numFmtId="166" fontId="1" fillId="0" borderId="0" xfId="1" applyNumberFormat="1"/>
    <xf numFmtId="164" fontId="3" fillId="3" borderId="0" xfId="2" applyFont="1" applyFill="1" applyAlignment="1">
      <alignment horizontal="center" vertical="top" wrapText="1"/>
    </xf>
    <xf numFmtId="0" fontId="3" fillId="4" borderId="0" xfId="1" applyFont="1" applyFill="1" applyAlignment="1">
      <alignment horizontal="center" vertical="top" wrapText="1"/>
    </xf>
    <xf numFmtId="0" fontId="3" fillId="3" borderId="0" xfId="1" applyFont="1" applyFill="1" applyAlignment="1">
      <alignment horizontal="center" vertical="top" wrapText="1"/>
    </xf>
    <xf numFmtId="164" fontId="3" fillId="4" borderId="0" xfId="2" applyFont="1" applyFill="1" applyAlignment="1">
      <alignment vertical="top"/>
    </xf>
    <xf numFmtId="0" fontId="3" fillId="3" borderId="0" xfId="1" applyFont="1" applyFill="1" applyAlignment="1">
      <alignment vertical="top"/>
    </xf>
    <xf numFmtId="0" fontId="6" fillId="5" borderId="0" xfId="1" applyFont="1" applyFill="1" applyAlignment="1">
      <alignment horizontal="center" vertical="top" wrapText="1"/>
    </xf>
    <xf numFmtId="0" fontId="4" fillId="3" borderId="0" xfId="3" applyFont="1" applyFill="1" applyAlignment="1">
      <alignment horizontal="center" vertical="top"/>
    </xf>
    <xf numFmtId="0" fontId="3" fillId="3" borderId="0" xfId="1" applyFont="1" applyFill="1" applyAlignment="1">
      <alignment horizontal="center" vertical="top"/>
    </xf>
    <xf numFmtId="0" fontId="6" fillId="5" borderId="0" xfId="1" applyFont="1" applyFill="1" applyAlignment="1">
      <alignment horizontal="center" vertical="top"/>
    </xf>
    <xf numFmtId="0" fontId="6" fillId="3" borderId="0" xfId="1" applyFont="1" applyFill="1" applyAlignment="1">
      <alignment horizontal="center" vertical="top"/>
    </xf>
    <xf numFmtId="49" fontId="6" fillId="5" borderId="0" xfId="1" applyNumberFormat="1" applyFont="1" applyFill="1" applyAlignment="1">
      <alignment horizontal="center" vertical="top"/>
    </xf>
    <xf numFmtId="0" fontId="7" fillId="5" borderId="0" xfId="1" applyFont="1" applyFill="1" applyAlignment="1">
      <alignment vertical="top"/>
    </xf>
  </cellXfs>
  <cellStyles count="4">
    <cellStyle name="20% - Accent6 4" xfId="3" xr:uid="{445D5CA1-ECD7-4E15-9F8D-D4AC2D65C4A0}"/>
    <cellStyle name="Currency 4" xfId="2" xr:uid="{41BA7791-0DA5-4BEA-9115-E3CFE234733E}"/>
    <cellStyle name="Normal" xfId="0" builtinId="0"/>
    <cellStyle name="Normal 93" xfId="1" xr:uid="{D73815AA-1610-4AAF-8AF3-CC09267F6F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ayala6/Documents/MP&amp;L/Analisis/2026/Junio/Analisis%20032%20%20CSL2%2006-08-2026%20Ale.xlsm" TargetMode="External"/><Relationship Id="rId1" Type="http://schemas.openxmlformats.org/officeDocument/2006/relationships/externalLinkPath" Target="/Users/aayala6/Documents/MP&amp;L/Analisis/2026/Junio/Analisis%20032%20%20CSL2%2006-08-2026%20A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5"/>
      <sheetName val="DATA (IRIS)"/>
      <sheetName val="PRECIO"/>
      <sheetName val="SL2"/>
      <sheetName val="INV"/>
      <sheetName val="ANALISIS (NEW)"/>
      <sheetName val="Sheet2"/>
      <sheetName val="Numeros parte obsoleto"/>
      <sheetName val="SAFETY STOCK"/>
      <sheetName val="TOP 10 INV"/>
      <sheetName val="ASN"/>
      <sheetName val="DIAS TRANSITO"/>
      <sheetName val="PROVEEDOR "/>
      <sheetName val="Concentrado meta INV"/>
      <sheetName val="Graficas "/>
      <sheetName val="INTRANSIT"/>
      <sheetName val="Inventario "/>
      <sheetName val="Optimo Sem1"/>
      <sheetName val="Optimo Sem "/>
      <sheetName val="Sheet1"/>
      <sheetName val="Inv Sem 23 pzas "/>
      <sheetName val="total de numeros 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C1" t="str">
            <v>Date</v>
          </cell>
          <cell r="D1">
            <v>46174</v>
          </cell>
          <cell r="T1">
            <v>46174</v>
          </cell>
          <cell r="U1">
            <v>46175</v>
          </cell>
          <cell r="V1">
            <v>46176</v>
          </cell>
          <cell r="W1">
            <v>46177</v>
          </cell>
          <cell r="X1">
            <v>46178</v>
          </cell>
          <cell r="Y1">
            <v>46179</v>
          </cell>
          <cell r="Z1">
            <v>46180</v>
          </cell>
          <cell r="AA1">
            <v>46181</v>
          </cell>
          <cell r="AB1">
            <v>46182</v>
          </cell>
          <cell r="AC1">
            <v>46183</v>
          </cell>
          <cell r="AD1">
            <v>46184</v>
          </cell>
          <cell r="AE1">
            <v>46185</v>
          </cell>
          <cell r="AF1">
            <v>46186</v>
          </cell>
          <cell r="AG1">
            <v>46187</v>
          </cell>
          <cell r="AH1">
            <v>46174</v>
          </cell>
          <cell r="AI1">
            <v>46181</v>
          </cell>
          <cell r="AJ1">
            <v>46188</v>
          </cell>
          <cell r="AK1">
            <v>46195</v>
          </cell>
          <cell r="AL1">
            <v>46202</v>
          </cell>
          <cell r="AM1">
            <v>46209</v>
          </cell>
          <cell r="AN1">
            <v>46216</v>
          </cell>
          <cell r="AO1">
            <v>46223</v>
          </cell>
          <cell r="AP1">
            <v>46230</v>
          </cell>
          <cell r="AQ1">
            <v>46237</v>
          </cell>
          <cell r="AR1">
            <v>46244</v>
          </cell>
          <cell r="AS1">
            <v>46251</v>
          </cell>
          <cell r="AV1" t="str">
            <v>Comentarios</v>
          </cell>
          <cell r="BG1" t="str">
            <v>(21B3)-JHUB</v>
          </cell>
          <cell r="BH1" t="str">
            <v>(21B3)-EPDC</v>
          </cell>
        </row>
        <row r="2">
          <cell r="C2" t="str">
            <v>Item Number</v>
          </cell>
          <cell r="D2" t="str">
            <v>Std Pack</v>
          </cell>
          <cell r="E2" t="str">
            <v>Description</v>
          </cell>
          <cell r="F2" t="str">
            <v>EPDC</v>
          </cell>
          <cell r="G2" t="str">
            <v>JHUB</v>
          </cell>
          <cell r="H2" t="e">
            <v>#N/A</v>
          </cell>
          <cell r="I2" t="str">
            <v>1PPW</v>
          </cell>
          <cell r="J2" t="str">
            <v>DISTRIBUTION</v>
          </cell>
          <cell r="K2" t="str">
            <v>ICINTRNS</v>
          </cell>
          <cell r="L2" t="str">
            <v>INTRANS</v>
          </cell>
          <cell r="M2" t="str">
            <v>WIP</v>
          </cell>
          <cell r="N2" t="str">
            <v>DIF</v>
          </cell>
          <cell r="O2" t="str">
            <v>QC</v>
          </cell>
          <cell r="P2" t="str">
            <v>Total BOH</v>
          </cell>
          <cell r="Q2" t="str">
            <v>SUPPLIER</v>
          </cell>
          <cell r="R2" t="str">
            <v>SL2</v>
          </cell>
          <cell r="S2" t="str">
            <v>PAST DUE</v>
          </cell>
          <cell r="T2" t="str">
            <v>Mo</v>
          </cell>
          <cell r="U2" t="str">
            <v>Tu</v>
          </cell>
          <cell r="V2" t="str">
            <v>We</v>
          </cell>
          <cell r="W2" t="str">
            <v>Th</v>
          </cell>
          <cell r="X2" t="str">
            <v>Fr</v>
          </cell>
          <cell r="Y2" t="str">
            <v>Sa</v>
          </cell>
          <cell r="Z2" t="str">
            <v>Su</v>
          </cell>
          <cell r="AA2" t="str">
            <v>Mo</v>
          </cell>
          <cell r="AB2" t="str">
            <v>Tu</v>
          </cell>
          <cell r="AC2" t="str">
            <v>We</v>
          </cell>
          <cell r="AD2" t="str">
            <v>Th</v>
          </cell>
          <cell r="AE2" t="str">
            <v>Fr</v>
          </cell>
          <cell r="AF2" t="str">
            <v>Sa</v>
          </cell>
          <cell r="AG2" t="str">
            <v>Su</v>
          </cell>
          <cell r="AH2" t="str">
            <v>Week 1</v>
          </cell>
          <cell r="AI2" t="str">
            <v>Week 2</v>
          </cell>
          <cell r="AJ2" t="str">
            <v>Week 3</v>
          </cell>
          <cell r="AK2" t="str">
            <v>Week 4</v>
          </cell>
          <cell r="AL2" t="str">
            <v>Week 5</v>
          </cell>
          <cell r="AM2" t="str">
            <v>Week 6</v>
          </cell>
          <cell r="AN2" t="str">
            <v>Week 7</v>
          </cell>
          <cell r="AO2" t="str">
            <v>Week 8</v>
          </cell>
          <cell r="AP2" t="str">
            <v>Week 9</v>
          </cell>
          <cell r="AQ2" t="str">
            <v>Week 10</v>
          </cell>
          <cell r="AR2" t="str">
            <v>Week 11</v>
          </cell>
          <cell r="AS2" t="str">
            <v>Week 12</v>
          </cell>
          <cell r="AT2" t="str">
            <v>TOTAL</v>
          </cell>
          <cell r="AW2" t="str">
            <v>Purch Doc</v>
          </cell>
          <cell r="AX2" t="str">
            <v>SUPLIER</v>
          </cell>
          <cell r="AY2" t="str">
            <v>COUNTRY</v>
          </cell>
          <cell r="AZ2" t="str">
            <v>TRANSIT TIME</v>
          </cell>
          <cell r="BA2" t="str">
            <v>TRANSPOR</v>
          </cell>
          <cell r="BC2" t="str">
            <v>NOMENCLATURA</v>
          </cell>
          <cell r="BD2" t="str">
            <v>HERRAMIENTA</v>
          </cell>
          <cell r="BE2" t="str">
            <v>SAFETY STOCK</v>
          </cell>
          <cell r="BF2" t="str">
            <v>USO SEMANAL</v>
          </cell>
          <cell r="BG2" t="str">
            <v>COSTO</v>
          </cell>
          <cell r="BH2" t="str">
            <v>TOTAL INVENTARIO</v>
          </cell>
          <cell r="BI2" t="str">
            <v>TOTAL SEMANAS</v>
          </cell>
          <cell r="BJ2" t="str">
            <v>TOTAL $ DLLS</v>
          </cell>
          <cell r="BK2" t="str">
            <v>ROD</v>
          </cell>
          <cell r="BL2" t="str">
            <v>DAYS</v>
          </cell>
          <cell r="BM2" t="str">
            <v>INTRANSIT</v>
          </cell>
          <cell r="BN2" t="str">
            <v>Mo</v>
          </cell>
          <cell r="BO2" t="str">
            <v>Tu</v>
          </cell>
          <cell r="BP2" t="str">
            <v>We</v>
          </cell>
          <cell r="BQ2" t="str">
            <v>Th</v>
          </cell>
          <cell r="BR2" t="str">
            <v>Fr</v>
          </cell>
          <cell r="BS2" t="str">
            <v>Mo</v>
          </cell>
          <cell r="BT2" t="str">
            <v>Tu</v>
          </cell>
          <cell r="BU2" t="str">
            <v>We</v>
          </cell>
          <cell r="BV2" t="str">
            <v>Th</v>
          </cell>
          <cell r="BW2" t="str">
            <v>Fr</v>
          </cell>
          <cell r="BY2" t="str">
            <v>UM</v>
          </cell>
        </row>
        <row r="3">
          <cell r="C3" t="str">
            <v>FC2P0F2SAA02</v>
          </cell>
          <cell r="D3">
            <v>225</v>
          </cell>
          <cell r="E3" t="str">
            <v>QUICK CONN-HTR WATER</v>
          </cell>
          <cell r="F3">
            <v>2250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-141</v>
          </cell>
          <cell r="O3">
            <v>0</v>
          </cell>
          <cell r="P3">
            <v>2109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18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18</v>
          </cell>
          <cell r="AI3">
            <v>0</v>
          </cell>
          <cell r="AJ3">
            <v>0</v>
          </cell>
          <cell r="AK3">
            <v>12</v>
          </cell>
          <cell r="AL3">
            <v>0</v>
          </cell>
          <cell r="AM3">
            <v>18</v>
          </cell>
          <cell r="AN3">
            <v>0</v>
          </cell>
          <cell r="AO3">
            <v>12</v>
          </cell>
          <cell r="AP3">
            <v>0</v>
          </cell>
          <cell r="AQ3">
            <v>28</v>
          </cell>
          <cell r="AR3">
            <v>0</v>
          </cell>
          <cell r="AS3">
            <v>44</v>
          </cell>
          <cell r="AT3">
            <v>0</v>
          </cell>
          <cell r="AW3">
            <v>5100001667</v>
          </cell>
          <cell r="AX3" t="str">
            <v>NORMA GROUP CRAIG ASSEMB</v>
          </cell>
          <cell r="AY3" t="str">
            <v xml:space="preserve">US </v>
          </cell>
          <cell r="AZ3" t="e">
            <v>#N/A</v>
          </cell>
          <cell r="BB3" t="str">
            <v>AADTD</v>
          </cell>
          <cell r="BC3" t="str">
            <v>AADTD-06.08.2026-(21B3)-EPDC</v>
          </cell>
          <cell r="BE3" t="e">
            <v>#N/A</v>
          </cell>
          <cell r="BF3">
            <v>8</v>
          </cell>
          <cell r="BG3">
            <v>1.27</v>
          </cell>
          <cell r="BH3">
            <v>2250</v>
          </cell>
          <cell r="BI3">
            <v>281.25</v>
          </cell>
          <cell r="BJ3">
            <v>2857.5</v>
          </cell>
          <cell r="BK3">
            <v>47868.5</v>
          </cell>
          <cell r="BL3">
            <v>1687.5</v>
          </cell>
          <cell r="BM3" t="str">
            <v>0</v>
          </cell>
          <cell r="BN3">
            <v>0</v>
          </cell>
          <cell r="BO3">
            <v>0</v>
          </cell>
          <cell r="BP3">
            <v>0</v>
          </cell>
          <cell r="BQ3">
            <v>-18</v>
          </cell>
          <cell r="BR3">
            <v>-18</v>
          </cell>
          <cell r="BS3">
            <v>-18</v>
          </cell>
          <cell r="BT3">
            <v>-18</v>
          </cell>
          <cell r="BU3">
            <v>-18</v>
          </cell>
          <cell r="BV3">
            <v>-18</v>
          </cell>
          <cell r="BW3">
            <v>-18</v>
          </cell>
          <cell r="BX3" t="str">
            <v>FC2P0F2SAA02</v>
          </cell>
          <cell r="BY3" t="str">
            <v>EA</v>
          </cell>
        </row>
        <row r="4">
          <cell r="C4" t="str">
            <v>FC2P0F2SBA01</v>
          </cell>
          <cell r="D4">
            <v>225</v>
          </cell>
          <cell r="E4" t="str">
            <v>QUICK CONN-HTR WATER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-366</v>
          </cell>
          <cell r="O4" t="str">
            <v>492599151233</v>
          </cell>
          <cell r="P4">
            <v>-366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18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18</v>
          </cell>
          <cell r="AI4">
            <v>0</v>
          </cell>
          <cell r="AJ4">
            <v>0</v>
          </cell>
          <cell r="AK4">
            <v>12</v>
          </cell>
          <cell r="AL4">
            <v>0</v>
          </cell>
          <cell r="AM4">
            <v>18</v>
          </cell>
          <cell r="AN4">
            <v>0</v>
          </cell>
          <cell r="AO4">
            <v>12</v>
          </cell>
          <cell r="AP4">
            <v>0</v>
          </cell>
          <cell r="AQ4">
            <v>28</v>
          </cell>
          <cell r="AR4">
            <v>0</v>
          </cell>
          <cell r="AS4">
            <v>44</v>
          </cell>
          <cell r="AT4">
            <v>0</v>
          </cell>
          <cell r="AW4">
            <v>5100001667</v>
          </cell>
          <cell r="AX4" t="str">
            <v>NORMA GROUP CRAIG ASSEMB</v>
          </cell>
          <cell r="AY4" t="str">
            <v xml:space="preserve">US </v>
          </cell>
          <cell r="AZ4" t="e">
            <v>#N/A</v>
          </cell>
          <cell r="BB4" t="str">
            <v>AADTD</v>
          </cell>
          <cell r="BC4" t="str">
            <v>AADTD-06.08.2026-(21B3)-EPDC</v>
          </cell>
          <cell r="BE4" t="e">
            <v>#N/A</v>
          </cell>
          <cell r="BF4">
            <v>8</v>
          </cell>
          <cell r="BG4">
            <v>1.26</v>
          </cell>
          <cell r="BH4">
            <v>492599151233</v>
          </cell>
          <cell r="BI4">
            <v>61574893904.125</v>
          </cell>
          <cell r="BJ4">
            <v>620674930553.57996</v>
          </cell>
          <cell r="BK4">
            <v>369449409605.75</v>
          </cell>
          <cell r="BL4">
            <v>369449363424.75</v>
          </cell>
          <cell r="BM4" t="str">
            <v>0</v>
          </cell>
          <cell r="BN4">
            <v>0</v>
          </cell>
          <cell r="BO4">
            <v>0</v>
          </cell>
          <cell r="BP4">
            <v>0</v>
          </cell>
          <cell r="BQ4">
            <v>-18</v>
          </cell>
          <cell r="BR4">
            <v>-18</v>
          </cell>
          <cell r="BS4">
            <v>-18</v>
          </cell>
          <cell r="BT4">
            <v>-18</v>
          </cell>
          <cell r="BU4">
            <v>-18</v>
          </cell>
          <cell r="BV4">
            <v>-18</v>
          </cell>
          <cell r="BW4">
            <v>-18</v>
          </cell>
          <cell r="BX4" t="str">
            <v>FC2P0F2SBA01</v>
          </cell>
          <cell r="BY4" t="str">
            <v>EA</v>
          </cell>
        </row>
        <row r="5">
          <cell r="C5" t="str">
            <v>VPAR3H-19B632-BA</v>
          </cell>
          <cell r="D5">
            <v>750</v>
          </cell>
          <cell r="E5" t="str">
            <v>CLIP-A/C TUBE SUPPORT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100</v>
          </cell>
          <cell r="O5">
            <v>0</v>
          </cell>
          <cell r="P5">
            <v>0</v>
          </cell>
          <cell r="Q5">
            <v>1150</v>
          </cell>
          <cell r="R5">
            <v>1107</v>
          </cell>
          <cell r="S5">
            <v>79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7</v>
          </cell>
          <cell r="AM5">
            <v>0</v>
          </cell>
          <cell r="AN5">
            <v>7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1106.8767700000001</v>
          </cell>
          <cell r="AW5">
            <v>5100001718</v>
          </cell>
          <cell r="AX5" t="str">
            <v>ADVANCE ENGINEERING CO</v>
          </cell>
          <cell r="AY5" t="str">
            <v xml:space="preserve">MX </v>
          </cell>
          <cell r="AZ5" t="e">
            <v>#N/A</v>
          </cell>
          <cell r="BB5" t="str">
            <v>AADTD</v>
          </cell>
          <cell r="BC5" t="str">
            <v>AADTD-06.08.2026-(21B3)-EPDC</v>
          </cell>
          <cell r="BE5">
            <v>100</v>
          </cell>
          <cell r="BF5">
            <v>1.2727272727272727</v>
          </cell>
          <cell r="BG5">
            <v>0.18330000000000002</v>
          </cell>
          <cell r="BH5">
            <v>1107</v>
          </cell>
          <cell r="BI5">
            <v>869.78571428571433</v>
          </cell>
          <cell r="BJ5">
            <v>202.91310000000001</v>
          </cell>
          <cell r="BK5">
            <v>51399.71428571429</v>
          </cell>
          <cell r="BL5">
            <v>5218.7142857142862</v>
          </cell>
          <cell r="BM5" t="str">
            <v>0</v>
          </cell>
          <cell r="BN5">
            <v>1107</v>
          </cell>
          <cell r="BO5">
            <v>1107</v>
          </cell>
          <cell r="BP5">
            <v>1107</v>
          </cell>
          <cell r="BQ5">
            <v>1107</v>
          </cell>
          <cell r="BR5">
            <v>1107</v>
          </cell>
          <cell r="BS5">
            <v>1107</v>
          </cell>
          <cell r="BT5">
            <v>1107</v>
          </cell>
          <cell r="BU5">
            <v>1107</v>
          </cell>
          <cell r="BV5">
            <v>1107</v>
          </cell>
          <cell r="BW5">
            <v>1107</v>
          </cell>
          <cell r="BY5" t="str">
            <v>EA</v>
          </cell>
        </row>
        <row r="6">
          <cell r="C6" t="str">
            <v>WSH-M1C231-B</v>
          </cell>
          <cell r="D6">
            <v>300</v>
          </cell>
          <cell r="E6" t="str">
            <v>LUBRICANT Daphne Hermetic Oil FD46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75.50855</v>
          </cell>
          <cell r="O6">
            <v>0</v>
          </cell>
          <cell r="P6">
            <v>75.50855</v>
          </cell>
          <cell r="Q6">
            <v>0</v>
          </cell>
          <cell r="R6">
            <v>0</v>
          </cell>
          <cell r="S6">
            <v>38.31</v>
          </cell>
          <cell r="T6">
            <v>0</v>
          </cell>
          <cell r="U6">
            <v>0.31325999999999998</v>
          </cell>
          <cell r="V6">
            <v>0.12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0.12</v>
          </cell>
          <cell r="AD6">
            <v>0</v>
          </cell>
          <cell r="AE6">
            <v>3.2299999999999998E-3</v>
          </cell>
          <cell r="AF6">
            <v>0</v>
          </cell>
          <cell r="AG6">
            <v>0</v>
          </cell>
          <cell r="AH6">
            <v>0.43325999999999998</v>
          </cell>
          <cell r="AI6">
            <v>0.12323000000000001</v>
          </cell>
          <cell r="AJ6">
            <v>0.12</v>
          </cell>
          <cell r="AK6">
            <v>0.12620000000000001</v>
          </cell>
          <cell r="AL6">
            <v>0.12</v>
          </cell>
          <cell r="AM6">
            <v>0.12</v>
          </cell>
          <cell r="AN6">
            <v>0.16603999999999999</v>
          </cell>
          <cell r="AO6">
            <v>0.27</v>
          </cell>
          <cell r="AP6">
            <v>0.12</v>
          </cell>
          <cell r="AQ6">
            <v>0.24</v>
          </cell>
          <cell r="AR6">
            <v>0.12</v>
          </cell>
          <cell r="AS6">
            <v>120</v>
          </cell>
          <cell r="AT6">
            <v>0</v>
          </cell>
          <cell r="AV6" t="str">
            <v xml:space="preserve">Se pide al almacen de los aceites
Pedir que lo quiten del boom </v>
          </cell>
          <cell r="AW6">
            <v>5100001898</v>
          </cell>
          <cell r="AX6" t="str">
            <v>IDEMITSU LUBRICANTS AMER</v>
          </cell>
          <cell r="AY6" t="str">
            <v xml:space="preserve">US </v>
          </cell>
          <cell r="AZ6" t="e">
            <v>#N/A</v>
          </cell>
          <cell r="BB6" t="str">
            <v>AADTD</v>
          </cell>
          <cell r="BC6" t="str">
            <v>AADTD-06.08.2026-(21B3)-EPDC</v>
          </cell>
          <cell r="BE6">
            <v>0</v>
          </cell>
          <cell r="BF6">
            <v>0.17806636363636361</v>
          </cell>
          <cell r="BG6">
            <v>6.5399999999999998E-3</v>
          </cell>
          <cell r="BH6">
            <v>0</v>
          </cell>
          <cell r="BI6">
            <v>0</v>
          </cell>
          <cell r="BJ6">
            <v>0</v>
          </cell>
          <cell r="BK6">
            <v>46181</v>
          </cell>
          <cell r="BL6">
            <v>0</v>
          </cell>
          <cell r="BM6" t="str">
            <v>0</v>
          </cell>
          <cell r="BN6">
            <v>0</v>
          </cell>
          <cell r="BO6">
            <v>0</v>
          </cell>
          <cell r="BP6">
            <v>-0.31325999999999998</v>
          </cell>
          <cell r="BQ6">
            <v>-0.43325999999999998</v>
          </cell>
          <cell r="BR6">
            <v>-0.43325999999999998</v>
          </cell>
          <cell r="BS6">
            <v>-0.43325999999999998</v>
          </cell>
          <cell r="BT6">
            <v>-0.43325999999999998</v>
          </cell>
          <cell r="BU6">
            <v>-0.43325999999999998</v>
          </cell>
          <cell r="BV6">
            <v>-0.55325999999999997</v>
          </cell>
          <cell r="BW6">
            <v>-0.55325999999999997</v>
          </cell>
          <cell r="BX6" t="str">
            <v>WSH-M1C231-B</v>
          </cell>
        </row>
        <row r="7">
          <cell r="C7" t="str">
            <v>FC2G0F2SBH01</v>
          </cell>
          <cell r="D7">
            <v>1500</v>
          </cell>
          <cell r="E7" t="str">
            <v>LABEL-A/C-label - A/C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3251</v>
          </cell>
          <cell r="N7">
            <v>-3251</v>
          </cell>
          <cell r="O7">
            <v>0</v>
          </cell>
          <cell r="P7">
            <v>3251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9</v>
          </cell>
          <cell r="AK7">
            <v>0</v>
          </cell>
          <cell r="AL7">
            <v>0</v>
          </cell>
          <cell r="AM7">
            <v>0</v>
          </cell>
          <cell r="AN7">
            <v>7</v>
          </cell>
          <cell r="AO7">
            <v>0</v>
          </cell>
          <cell r="AP7">
            <v>0</v>
          </cell>
          <cell r="AQ7">
            <v>3</v>
          </cell>
          <cell r="AR7">
            <v>3</v>
          </cell>
          <cell r="AS7">
            <v>2</v>
          </cell>
          <cell r="AT7">
            <v>0</v>
          </cell>
          <cell r="AW7">
            <v>5100001743</v>
          </cell>
          <cell r="AX7" t="str">
            <v>GENERAL LABELS AND PRINT</v>
          </cell>
          <cell r="AY7" t="str">
            <v xml:space="preserve">US </v>
          </cell>
          <cell r="AZ7">
            <v>9</v>
          </cell>
          <cell r="BB7" t="str">
            <v>AADTD</v>
          </cell>
          <cell r="BC7" t="str">
            <v>AADTD-06.08.2026-(21B3)-EPDC</v>
          </cell>
          <cell r="BE7">
            <v>0</v>
          </cell>
          <cell r="BF7">
            <v>2</v>
          </cell>
          <cell r="BG7">
            <v>0.24330000000000002</v>
          </cell>
          <cell r="BH7">
            <v>0</v>
          </cell>
          <cell r="BI7">
            <v>0</v>
          </cell>
          <cell r="BJ7">
            <v>0</v>
          </cell>
          <cell r="BK7">
            <v>46181</v>
          </cell>
          <cell r="BL7">
            <v>0</v>
          </cell>
          <cell r="BM7" t="str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Y7" t="str">
            <v>EA</v>
          </cell>
        </row>
        <row r="8">
          <cell r="C8" t="str">
            <v>3L8H-19C708-A1A</v>
          </cell>
          <cell r="D8">
            <v>1200</v>
          </cell>
          <cell r="E8" t="str">
            <v>GOOD YEAR 4890 5/16INCH</v>
          </cell>
          <cell r="F8">
            <v>0</v>
          </cell>
          <cell r="G8">
            <v>0</v>
          </cell>
          <cell r="I8">
            <v>0</v>
          </cell>
          <cell r="M8">
            <v>8436.0486999999994</v>
          </cell>
          <cell r="N8">
            <v>-1436.0486999999994</v>
          </cell>
          <cell r="O8">
            <v>0</v>
          </cell>
          <cell r="Q8">
            <v>14483</v>
          </cell>
          <cell r="R8">
            <v>5826</v>
          </cell>
          <cell r="S8">
            <v>699.75800000000004</v>
          </cell>
          <cell r="T8">
            <v>2039.588</v>
          </cell>
          <cell r="U8">
            <v>2077.7440000000001</v>
          </cell>
          <cell r="V8">
            <v>2330.6635000000001</v>
          </cell>
          <cell r="W8">
            <v>2344.9232999999999</v>
          </cell>
          <cell r="X8">
            <v>2375.768</v>
          </cell>
          <cell r="Y8">
            <v>0</v>
          </cell>
          <cell r="Z8">
            <v>0</v>
          </cell>
          <cell r="AA8">
            <v>2300.098</v>
          </cell>
          <cell r="AB8">
            <v>2388.2159999999999</v>
          </cell>
          <cell r="AC8">
            <v>2228.94</v>
          </cell>
          <cell r="AD8">
            <v>2276.8072999999999</v>
          </cell>
          <cell r="AE8">
            <v>2447.5880000000002</v>
          </cell>
          <cell r="AF8">
            <v>0</v>
          </cell>
          <cell r="AG8">
            <v>0</v>
          </cell>
          <cell r="AH8">
            <v>11168.686800000001</v>
          </cell>
          <cell r="AI8">
            <v>11641.649300000001</v>
          </cell>
          <cell r="AJ8">
            <v>11887.470300000001</v>
          </cell>
          <cell r="AK8">
            <v>11668.990300000001</v>
          </cell>
          <cell r="AL8">
            <v>11282.9005</v>
          </cell>
          <cell r="AM8">
            <v>10871.0463</v>
          </cell>
          <cell r="AN8">
            <v>10657.035300000001</v>
          </cell>
          <cell r="AO8">
            <v>10864.681500000001</v>
          </cell>
          <cell r="AP8">
            <v>10790.5816</v>
          </cell>
          <cell r="AQ8">
            <v>10822.953</v>
          </cell>
          <cell r="AR8">
            <v>10698.473</v>
          </cell>
          <cell r="AS8">
            <v>10755.3505</v>
          </cell>
          <cell r="AT8">
            <v>-5815.6493000000009</v>
          </cell>
          <cell r="AW8">
            <v>5100005131</v>
          </cell>
          <cell r="AX8" t="str">
            <v>CONTITECH USA, INC.</v>
          </cell>
          <cell r="AY8" t="str">
            <v xml:space="preserve">US </v>
          </cell>
          <cell r="AZ8">
            <v>9</v>
          </cell>
          <cell r="BB8" t="str">
            <v>AADTD</v>
          </cell>
          <cell r="BC8" t="str">
            <v>AADTD-06.08.2026-(21B3)-EPDC</v>
          </cell>
          <cell r="BD8">
            <v>2400</v>
          </cell>
          <cell r="BE8">
            <v>7000</v>
          </cell>
          <cell r="BF8">
            <v>11123.133445454547</v>
          </cell>
          <cell r="BG8">
            <v>1.9499999999999999E-3</v>
          </cell>
          <cell r="BH8">
            <v>5826</v>
          </cell>
          <cell r="BI8">
            <v>0.52377327203431034</v>
          </cell>
          <cell r="BJ8">
            <v>11360.699999999999</v>
          </cell>
          <cell r="BK8">
            <v>46184.142639632206</v>
          </cell>
          <cell r="BL8">
            <v>3.1426396322058618</v>
          </cell>
          <cell r="BM8">
            <v>0</v>
          </cell>
          <cell r="BN8">
            <v>5826</v>
          </cell>
          <cell r="BO8">
            <v>3786.4120000000003</v>
          </cell>
          <cell r="BP8">
            <v>1708.6680000000001</v>
          </cell>
          <cell r="BQ8">
            <v>-621.99549999999999</v>
          </cell>
          <cell r="BR8">
            <v>-2966.9187999999999</v>
          </cell>
          <cell r="BS8">
            <v>-5342.6867999999995</v>
          </cell>
          <cell r="BT8">
            <v>-7642.7847999999994</v>
          </cell>
          <cell r="BU8">
            <v>-10031.0008</v>
          </cell>
          <cell r="BV8">
            <v>-12259.9408</v>
          </cell>
          <cell r="BW8">
            <v>-14536.748100000001</v>
          </cell>
          <cell r="BX8" t="str">
            <v>3L8H-19C708-A1A</v>
          </cell>
          <cell r="BY8" t="str">
            <v>MM</v>
          </cell>
        </row>
        <row r="9">
          <cell r="C9" t="str">
            <v>RMPL00173</v>
          </cell>
          <cell r="D9">
            <v>75000</v>
          </cell>
          <cell r="E9" t="str">
            <v>Shrink Sleeve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1575000</v>
          </cell>
          <cell r="K9">
            <v>0</v>
          </cell>
          <cell r="L9">
            <v>0</v>
          </cell>
          <cell r="M9">
            <v>1515.7860000000001</v>
          </cell>
          <cell r="N9">
            <v>2484.2139999999999</v>
          </cell>
          <cell r="O9">
            <v>0</v>
          </cell>
          <cell r="P9">
            <v>3540786</v>
          </cell>
          <cell r="Q9">
            <v>2925</v>
          </cell>
          <cell r="R9">
            <v>4950</v>
          </cell>
          <cell r="S9">
            <v>0</v>
          </cell>
          <cell r="T9">
            <v>590.73</v>
          </cell>
          <cell r="U9">
            <v>333.06</v>
          </cell>
          <cell r="V9">
            <v>96.768000000000001</v>
          </cell>
          <cell r="W9">
            <v>214.91399999999999</v>
          </cell>
          <cell r="X9">
            <v>214.91399999999999</v>
          </cell>
          <cell r="Y9">
            <v>0</v>
          </cell>
          <cell r="Z9">
            <v>0</v>
          </cell>
          <cell r="AA9">
            <v>214.91399999999999</v>
          </cell>
          <cell r="AB9">
            <v>590.73</v>
          </cell>
          <cell r="AC9">
            <v>621.84</v>
          </cell>
          <cell r="AD9">
            <v>214.91399999999999</v>
          </cell>
          <cell r="AE9">
            <v>590.73</v>
          </cell>
          <cell r="AF9">
            <v>0</v>
          </cell>
          <cell r="AG9">
            <v>0</v>
          </cell>
          <cell r="AH9">
            <v>1450.386</v>
          </cell>
          <cell r="AI9">
            <v>2233.1280000000002</v>
          </cell>
          <cell r="AJ9">
            <v>3022.11</v>
          </cell>
          <cell r="AK9">
            <v>2528.1480000000001</v>
          </cell>
          <cell r="AL9">
            <v>2612.0639999999999</v>
          </cell>
          <cell r="AM9">
            <v>2320.1640000000002</v>
          </cell>
          <cell r="AN9">
            <v>2615.692</v>
          </cell>
          <cell r="AO9">
            <v>2451.96</v>
          </cell>
          <cell r="AP9">
            <v>2532.7919999999999</v>
          </cell>
          <cell r="AQ9">
            <v>2607.42</v>
          </cell>
          <cell r="AR9">
            <v>2908.6080000000002</v>
          </cell>
          <cell r="AS9">
            <v>2534.3159999999998</v>
          </cell>
          <cell r="AT9">
            <v>2716.8720000000003</v>
          </cell>
          <cell r="AW9">
            <v>5100001966</v>
          </cell>
          <cell r="AX9" t="str">
            <v>TE CONNECTIVITY</v>
          </cell>
          <cell r="AY9" t="str">
            <v xml:space="preserve">US </v>
          </cell>
          <cell r="AZ9">
            <v>9</v>
          </cell>
          <cell r="BB9" t="str">
            <v>AADTD</v>
          </cell>
          <cell r="BC9" t="str">
            <v>AADTD-06.08.2026-(21B3)-EPDC</v>
          </cell>
          <cell r="BD9">
            <v>3200</v>
          </cell>
          <cell r="BE9">
            <v>4000</v>
          </cell>
          <cell r="BF9">
            <v>2480.2247272727273</v>
          </cell>
          <cell r="BG9">
            <v>1.8799999999999999E-3</v>
          </cell>
          <cell r="BH9">
            <v>4950</v>
          </cell>
          <cell r="BI9">
            <v>1.9957868920382289</v>
          </cell>
          <cell r="BJ9">
            <v>9306</v>
          </cell>
          <cell r="BK9">
            <v>46192.974721352228</v>
          </cell>
          <cell r="BL9">
            <v>11.974721352229373</v>
          </cell>
          <cell r="BM9">
            <v>1500</v>
          </cell>
          <cell r="BN9">
            <v>4950</v>
          </cell>
          <cell r="BO9">
            <v>4359.2700000000004</v>
          </cell>
          <cell r="BP9">
            <v>4026.2100000000005</v>
          </cell>
          <cell r="BQ9">
            <v>3929.4420000000005</v>
          </cell>
          <cell r="BR9">
            <v>3714.5280000000002</v>
          </cell>
          <cell r="BS9">
            <v>3499.6140000000005</v>
          </cell>
          <cell r="BT9">
            <v>3284.7000000000007</v>
          </cell>
          <cell r="BU9">
            <v>2693.9700000000007</v>
          </cell>
          <cell r="BV9">
            <v>2072.1300000000006</v>
          </cell>
          <cell r="BW9">
            <v>1857.2160000000006</v>
          </cell>
          <cell r="BX9" t="str">
            <v>RMPL00173</v>
          </cell>
          <cell r="BY9" t="str">
            <v>MM</v>
          </cell>
        </row>
        <row r="10">
          <cell r="C10" t="str">
            <v>RMPL00184</v>
          </cell>
          <cell r="D10">
            <v>60000</v>
          </cell>
          <cell r="E10" t="str">
            <v>Plastic</v>
          </cell>
          <cell r="F10">
            <v>0</v>
          </cell>
          <cell r="G10">
            <v>0</v>
          </cell>
          <cell r="I10">
            <v>0</v>
          </cell>
          <cell r="M10">
            <v>523.85799999999995</v>
          </cell>
          <cell r="N10">
            <v>1976.1420000000001</v>
          </cell>
          <cell r="O10">
            <v>0</v>
          </cell>
          <cell r="Q10">
            <v>960</v>
          </cell>
          <cell r="R10">
            <v>1380</v>
          </cell>
          <cell r="S10">
            <v>0</v>
          </cell>
          <cell r="T10">
            <v>148.32</v>
          </cell>
          <cell r="U10">
            <v>282.44</v>
          </cell>
          <cell r="V10">
            <v>282.44</v>
          </cell>
          <cell r="W10">
            <v>282.44</v>
          </cell>
          <cell r="X10">
            <v>282.44</v>
          </cell>
          <cell r="Y10">
            <v>0</v>
          </cell>
          <cell r="Z10">
            <v>0</v>
          </cell>
          <cell r="AA10">
            <v>282.44</v>
          </cell>
          <cell r="AB10">
            <v>282.44</v>
          </cell>
          <cell r="AC10">
            <v>282.44</v>
          </cell>
          <cell r="AD10">
            <v>282.44</v>
          </cell>
          <cell r="AE10">
            <v>215.38</v>
          </cell>
          <cell r="AF10">
            <v>0</v>
          </cell>
          <cell r="AG10">
            <v>0</v>
          </cell>
          <cell r="AH10">
            <v>1278.08</v>
          </cell>
          <cell r="AI10">
            <v>1345.14</v>
          </cell>
          <cell r="AJ10">
            <v>1345.14</v>
          </cell>
          <cell r="AK10">
            <v>1345.14</v>
          </cell>
          <cell r="AL10">
            <v>1221.54</v>
          </cell>
          <cell r="AM10">
            <v>1087.42</v>
          </cell>
          <cell r="AN10">
            <v>1221.54</v>
          </cell>
          <cell r="AO10">
            <v>1087.42</v>
          </cell>
          <cell r="AP10">
            <v>1087.42</v>
          </cell>
          <cell r="AQ10">
            <v>1087.42</v>
          </cell>
          <cell r="AR10">
            <v>1087.42</v>
          </cell>
          <cell r="AS10">
            <v>1087.42</v>
          </cell>
          <cell r="AT10">
            <v>34.860000000000127</v>
          </cell>
          <cell r="AW10">
            <v>5100001966</v>
          </cell>
          <cell r="AX10" t="str">
            <v>TE CONNECTIVITY</v>
          </cell>
          <cell r="AY10" t="str">
            <v xml:space="preserve">US </v>
          </cell>
          <cell r="AZ10">
            <v>9</v>
          </cell>
          <cell r="BB10" t="str">
            <v>AADTD</v>
          </cell>
          <cell r="BC10" t="str">
            <v>AADTD-06.08.2026-(21B3)-EPDC</v>
          </cell>
          <cell r="BE10">
            <v>2500</v>
          </cell>
          <cell r="BF10">
            <v>1199.4254545454546</v>
          </cell>
          <cell r="BG10">
            <v>2.3599999999999997E-3</v>
          </cell>
          <cell r="BH10">
            <v>1380</v>
          </cell>
          <cell r="BI10">
            <v>1.1505508698103939</v>
          </cell>
          <cell r="BJ10">
            <v>3256.7999999999997</v>
          </cell>
          <cell r="BK10">
            <v>46187.903305218861</v>
          </cell>
          <cell r="BL10">
            <v>6.9033052188623634</v>
          </cell>
          <cell r="BM10">
            <v>180</v>
          </cell>
          <cell r="BN10">
            <v>1380</v>
          </cell>
          <cell r="BO10">
            <v>1231.68</v>
          </cell>
          <cell r="BP10">
            <v>949.24</v>
          </cell>
          <cell r="BQ10">
            <v>666.8</v>
          </cell>
          <cell r="BR10">
            <v>384.35999999999996</v>
          </cell>
          <cell r="BS10">
            <v>101.91999999999996</v>
          </cell>
          <cell r="BT10">
            <v>-180.52000000000004</v>
          </cell>
          <cell r="BU10">
            <v>-462.96000000000004</v>
          </cell>
          <cell r="BV10">
            <v>-745.40000000000009</v>
          </cell>
          <cell r="BW10">
            <v>-1027.8400000000001</v>
          </cell>
          <cell r="BX10" t="str">
            <v>RMPL00184</v>
          </cell>
          <cell r="BY10" t="str">
            <v>MM</v>
          </cell>
        </row>
        <row r="11">
          <cell r="C11" t="str">
            <v>FC2B2F2S1C04</v>
          </cell>
          <cell r="D11">
            <v>1200</v>
          </cell>
          <cell r="E11" t="str">
            <v>BRKT/CLIP-PLASTIC CLIP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2000</v>
          </cell>
          <cell r="N11">
            <v>-1000</v>
          </cell>
          <cell r="O11">
            <v>0</v>
          </cell>
          <cell r="P11">
            <v>3000</v>
          </cell>
          <cell r="Q11">
            <v>0</v>
          </cell>
          <cell r="R11">
            <v>1000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1000</v>
          </cell>
          <cell r="AV11" t="str">
            <v>P702 BEV MCA</v>
          </cell>
          <cell r="AW11">
            <v>5100001667</v>
          </cell>
          <cell r="AX11" t="str">
            <v>ELITE PLASTIC PRODUCTS I</v>
          </cell>
          <cell r="AY11" t="str">
            <v xml:space="preserve">US </v>
          </cell>
          <cell r="AZ11" t="e">
            <v>#N/A</v>
          </cell>
          <cell r="BB11" t="str">
            <v>AADTD</v>
          </cell>
          <cell r="BC11" t="str">
            <v>AADTD-06.08.2026-(21B3)-EPDC</v>
          </cell>
          <cell r="BE11">
            <v>1000</v>
          </cell>
          <cell r="BF11">
            <v>0</v>
          </cell>
          <cell r="BG11">
            <v>0.2412</v>
          </cell>
          <cell r="BH11">
            <v>1000</v>
          </cell>
          <cell r="BI11" t="e">
            <v>#DIV/0!</v>
          </cell>
          <cell r="BJ11">
            <v>241.2</v>
          </cell>
          <cell r="BK11" t="e">
            <v>#DIV/0!</v>
          </cell>
          <cell r="BL11" t="e">
            <v>#DIV/0!</v>
          </cell>
          <cell r="BM11" t="str">
            <v>0</v>
          </cell>
          <cell r="BN11">
            <v>1000</v>
          </cell>
          <cell r="BO11">
            <v>1000</v>
          </cell>
          <cell r="BP11">
            <v>1000</v>
          </cell>
          <cell r="BQ11">
            <v>1000</v>
          </cell>
          <cell r="BR11">
            <v>1000</v>
          </cell>
          <cell r="BS11">
            <v>1000</v>
          </cell>
          <cell r="BT11">
            <v>1000</v>
          </cell>
          <cell r="BU11">
            <v>1000</v>
          </cell>
          <cell r="BV11">
            <v>1000</v>
          </cell>
          <cell r="BW11">
            <v>1000</v>
          </cell>
          <cell r="BY11" t="str">
            <v>EA</v>
          </cell>
        </row>
        <row r="12">
          <cell r="C12" t="str">
            <v>FC2B1F2SGZ01</v>
          </cell>
          <cell r="D12">
            <v>125</v>
          </cell>
          <cell r="E12" t="str">
            <v>BRKT/CLIP-A/C LINE</v>
          </cell>
          <cell r="F12">
            <v>0</v>
          </cell>
          <cell r="G12">
            <v>0</v>
          </cell>
          <cell r="I12">
            <v>0</v>
          </cell>
          <cell r="M12">
            <v>2311</v>
          </cell>
          <cell r="N12">
            <v>32689</v>
          </cell>
          <cell r="O12">
            <v>0</v>
          </cell>
          <cell r="Q12">
            <v>3750</v>
          </cell>
          <cell r="R12">
            <v>9500</v>
          </cell>
          <cell r="S12">
            <v>986</v>
          </cell>
          <cell r="T12">
            <v>522</v>
          </cell>
          <cell r="U12">
            <v>522</v>
          </cell>
          <cell r="V12">
            <v>522</v>
          </cell>
          <cell r="W12">
            <v>522</v>
          </cell>
          <cell r="X12">
            <v>522</v>
          </cell>
          <cell r="Y12">
            <v>0</v>
          </cell>
          <cell r="Z12">
            <v>0</v>
          </cell>
          <cell r="AA12">
            <v>522</v>
          </cell>
          <cell r="AB12">
            <v>522</v>
          </cell>
          <cell r="AC12">
            <v>232</v>
          </cell>
          <cell r="AD12">
            <v>464</v>
          </cell>
          <cell r="AE12">
            <v>464</v>
          </cell>
          <cell r="AF12">
            <v>0</v>
          </cell>
          <cell r="AG12">
            <v>0</v>
          </cell>
          <cell r="AH12">
            <v>2610</v>
          </cell>
          <cell r="AI12">
            <v>2204</v>
          </cell>
          <cell r="AJ12">
            <v>2320</v>
          </cell>
          <cell r="AK12">
            <v>2320</v>
          </cell>
          <cell r="AL12">
            <v>1740</v>
          </cell>
          <cell r="AM12">
            <v>2030</v>
          </cell>
          <cell r="AN12">
            <v>2030</v>
          </cell>
          <cell r="AO12">
            <v>2320</v>
          </cell>
          <cell r="AP12">
            <v>2030</v>
          </cell>
          <cell r="AQ12">
            <v>2030</v>
          </cell>
          <cell r="AR12">
            <v>2320</v>
          </cell>
          <cell r="AS12">
            <v>2030</v>
          </cell>
          <cell r="AT12">
            <v>7296</v>
          </cell>
          <cell r="AW12">
            <v>5100001774</v>
          </cell>
          <cell r="AX12" t="str">
            <v>PRECISE TOOL &amp; DIE LIMIT</v>
          </cell>
          <cell r="AY12" t="str">
            <v xml:space="preserve">CA </v>
          </cell>
          <cell r="AZ12">
            <v>11</v>
          </cell>
          <cell r="BB12" t="str">
            <v>AADTD</v>
          </cell>
          <cell r="BC12" t="str">
            <v>AADTD-06.08.2026-(21B3)-EPDC</v>
          </cell>
          <cell r="BD12">
            <v>3300</v>
          </cell>
          <cell r="BE12">
            <v>35000</v>
          </cell>
          <cell r="BF12">
            <v>2177.6363636363635</v>
          </cell>
          <cell r="BG12">
            <v>0.80920000000000003</v>
          </cell>
          <cell r="BH12">
            <v>9500</v>
          </cell>
          <cell r="BI12">
            <v>4.362528179009769</v>
          </cell>
          <cell r="BJ12">
            <v>7687.4000000000005</v>
          </cell>
          <cell r="BK12">
            <v>46207.175169074057</v>
          </cell>
          <cell r="BL12">
            <v>26.175169074058616</v>
          </cell>
          <cell r="BM12">
            <v>3750</v>
          </cell>
          <cell r="BN12">
            <v>9500</v>
          </cell>
          <cell r="BO12">
            <v>8978</v>
          </cell>
          <cell r="BP12">
            <v>8456</v>
          </cell>
          <cell r="BQ12">
            <v>7934</v>
          </cell>
          <cell r="BR12">
            <v>7412</v>
          </cell>
          <cell r="BS12">
            <v>6890</v>
          </cell>
          <cell r="BT12">
            <v>6368</v>
          </cell>
          <cell r="BU12">
            <v>5846</v>
          </cell>
          <cell r="BV12">
            <v>5614</v>
          </cell>
          <cell r="BW12">
            <v>5150</v>
          </cell>
          <cell r="BX12" t="str">
            <v>FC2B1F2SGZ01</v>
          </cell>
          <cell r="BY12" t="str">
            <v>EA</v>
          </cell>
        </row>
        <row r="13">
          <cell r="C13" t="str">
            <v>00035145-01-0000</v>
          </cell>
          <cell r="D13">
            <v>1</v>
          </cell>
          <cell r="E13" t="str">
            <v>ADHESIVE LOCTITE 495 (26895)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182439.6</v>
          </cell>
          <cell r="O13">
            <v>0</v>
          </cell>
          <cell r="P13">
            <v>182439.6</v>
          </cell>
          <cell r="Q13">
            <v>0</v>
          </cell>
          <cell r="R13">
            <v>0</v>
          </cell>
          <cell r="S13">
            <v>39600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2800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2800</v>
          </cell>
          <cell r="AF13">
            <v>0</v>
          </cell>
          <cell r="AG13">
            <v>0</v>
          </cell>
          <cell r="AH13">
            <v>2800</v>
          </cell>
          <cell r="AI13">
            <v>2800</v>
          </cell>
          <cell r="AJ13">
            <v>0</v>
          </cell>
          <cell r="AK13">
            <v>0</v>
          </cell>
          <cell r="AL13">
            <v>0.45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-5600</v>
          </cell>
          <cell r="AV13" t="str">
            <v xml:space="preserve">Se pide en Rivereño (Selenea Rodriguez) </v>
          </cell>
          <cell r="AW13" t="str">
            <v>-</v>
          </cell>
          <cell r="AX13" t="str">
            <v>HENKEL CORPORATION</v>
          </cell>
          <cell r="AY13" t="str">
            <v>-</v>
          </cell>
          <cell r="AZ13" t="e">
            <v>#N/A</v>
          </cell>
          <cell r="BB13" t="str">
            <v>AADTD</v>
          </cell>
          <cell r="BC13" t="str">
            <v>AADTD-06.08.2026-(21B3)-EPDC</v>
          </cell>
          <cell r="BE13">
            <v>0</v>
          </cell>
          <cell r="BF13">
            <v>509.13181818181818</v>
          </cell>
          <cell r="BG13">
            <v>9.6999999999999986E-3</v>
          </cell>
          <cell r="BH13">
            <v>0</v>
          </cell>
          <cell r="BI13">
            <v>0</v>
          </cell>
          <cell r="BJ13">
            <v>0</v>
          </cell>
          <cell r="BK13">
            <v>46181</v>
          </cell>
          <cell r="BL13">
            <v>0</v>
          </cell>
          <cell r="BM13" t="str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-2800</v>
          </cell>
          <cell r="BT13">
            <v>-2800</v>
          </cell>
          <cell r="BU13">
            <v>-2800</v>
          </cell>
          <cell r="BV13">
            <v>-2800</v>
          </cell>
          <cell r="BW13">
            <v>-2800</v>
          </cell>
          <cell r="BX13" t="str">
            <v>00035145-01-0000</v>
          </cell>
        </row>
        <row r="14">
          <cell r="C14" t="str">
            <v>VP6XPH-18K459-BA</v>
          </cell>
          <cell r="D14">
            <v>150</v>
          </cell>
          <cell r="E14" t="str">
            <v>SLV-HTR HOS PROT</v>
          </cell>
          <cell r="F14">
            <v>0</v>
          </cell>
          <cell r="G14">
            <v>1200</v>
          </cell>
          <cell r="I14">
            <v>0</v>
          </cell>
          <cell r="M14">
            <v>3455.9479999999999</v>
          </cell>
          <cell r="N14">
            <v>8144.0519999999997</v>
          </cell>
          <cell r="O14">
            <v>0</v>
          </cell>
          <cell r="Q14">
            <v>0</v>
          </cell>
          <cell r="R14">
            <v>5400</v>
          </cell>
          <cell r="S14">
            <v>3.78</v>
          </cell>
          <cell r="T14">
            <v>1212.51</v>
          </cell>
          <cell r="U14">
            <v>538.16999999999996</v>
          </cell>
          <cell r="V14">
            <v>1296.51</v>
          </cell>
          <cell r="W14">
            <v>930.90599999999995</v>
          </cell>
          <cell r="X14">
            <v>1164.69</v>
          </cell>
          <cell r="Y14">
            <v>0</v>
          </cell>
          <cell r="Z14">
            <v>0</v>
          </cell>
          <cell r="AA14">
            <v>1052.826</v>
          </cell>
          <cell r="AB14">
            <v>1145.6099999999999</v>
          </cell>
          <cell r="AC14">
            <v>909.21600000000001</v>
          </cell>
          <cell r="AD14">
            <v>1303.44</v>
          </cell>
          <cell r="AE14">
            <v>1123.92</v>
          </cell>
          <cell r="AF14">
            <v>0</v>
          </cell>
          <cell r="AG14">
            <v>0</v>
          </cell>
          <cell r="AH14">
            <v>5142.7860000000001</v>
          </cell>
          <cell r="AI14">
            <v>5535.0119999999997</v>
          </cell>
          <cell r="AJ14">
            <v>5519.1</v>
          </cell>
          <cell r="AK14">
            <v>5612.3580000000002</v>
          </cell>
          <cell r="AL14">
            <v>5872.78</v>
          </cell>
          <cell r="AM14">
            <v>5491.5420000000004</v>
          </cell>
          <cell r="AN14">
            <v>5379.2520000000004</v>
          </cell>
          <cell r="AO14">
            <v>5711.8509999999997</v>
          </cell>
          <cell r="AP14">
            <v>5791.9430000000002</v>
          </cell>
          <cell r="AQ14">
            <v>5594.4480000000003</v>
          </cell>
          <cell r="AR14">
            <v>5612.3580000000002</v>
          </cell>
          <cell r="AS14">
            <v>5771.0460000000003</v>
          </cell>
          <cell r="AT14">
            <v>-135.01199999999972</v>
          </cell>
          <cell r="AW14">
            <v>5100002018</v>
          </cell>
          <cell r="AX14" t="str">
            <v>TYCO ELECTRONICS</v>
          </cell>
          <cell r="AY14" t="str">
            <v xml:space="preserve">US </v>
          </cell>
          <cell r="AZ14">
            <v>9</v>
          </cell>
          <cell r="BB14" t="str">
            <v>AADTD</v>
          </cell>
          <cell r="BC14" t="str">
            <v>AADTD-06.08.2026-(21B3)-JHUB</v>
          </cell>
          <cell r="BD14">
            <v>2500</v>
          </cell>
          <cell r="BE14">
            <v>11600</v>
          </cell>
          <cell r="BF14">
            <v>5569.4027272727271</v>
          </cell>
          <cell r="BG14">
            <v>1.1000000000000001E-3</v>
          </cell>
          <cell r="BH14">
            <v>6600</v>
          </cell>
          <cell r="BI14">
            <v>1.1850462829129875</v>
          </cell>
          <cell r="BJ14">
            <v>7260.0000000000009</v>
          </cell>
          <cell r="BK14">
            <v>46188.11027769748</v>
          </cell>
          <cell r="BL14">
            <v>7.1102776974779252</v>
          </cell>
          <cell r="BM14">
            <v>0</v>
          </cell>
          <cell r="BN14">
            <v>5400</v>
          </cell>
          <cell r="BO14">
            <v>4187.49</v>
          </cell>
          <cell r="BP14">
            <v>3649.3199999999997</v>
          </cell>
          <cell r="BQ14">
            <v>2352.8099999999995</v>
          </cell>
          <cell r="BR14">
            <v>1421.9039999999995</v>
          </cell>
          <cell r="BS14">
            <v>257.21399999999949</v>
          </cell>
          <cell r="BT14">
            <v>-795.61200000000053</v>
          </cell>
          <cell r="BU14">
            <v>-1941.2220000000004</v>
          </cell>
          <cell r="BV14">
            <v>-2850.4380000000006</v>
          </cell>
          <cell r="BW14">
            <v>-4153.8780000000006</v>
          </cell>
          <cell r="BX14" t="str">
            <v>VP6XPH-18K459-BA</v>
          </cell>
          <cell r="BY14" t="str">
            <v>MM</v>
          </cell>
        </row>
        <row r="15">
          <cell r="C15" t="str">
            <v>FC2B1F2SML03</v>
          </cell>
          <cell r="D15">
            <v>75</v>
          </cell>
          <cell r="E15" t="str">
            <v>BRKT/CLIP-A/C LINE</v>
          </cell>
          <cell r="F15">
            <v>0</v>
          </cell>
          <cell r="G15">
            <v>0</v>
          </cell>
          <cell r="I15">
            <v>0</v>
          </cell>
          <cell r="M15">
            <v>173</v>
          </cell>
          <cell r="N15">
            <v>4827</v>
          </cell>
          <cell r="O15">
            <v>0</v>
          </cell>
          <cell r="Q15">
            <v>10800</v>
          </cell>
          <cell r="R15">
            <v>2325</v>
          </cell>
          <cell r="S15">
            <v>0</v>
          </cell>
          <cell r="T15">
            <v>288</v>
          </cell>
          <cell r="U15">
            <v>288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288</v>
          </cell>
          <cell r="AB15">
            <v>288</v>
          </cell>
          <cell r="AC15">
            <v>288</v>
          </cell>
          <cell r="AD15">
            <v>288</v>
          </cell>
          <cell r="AE15">
            <v>288</v>
          </cell>
          <cell r="AF15">
            <v>0</v>
          </cell>
          <cell r="AG15">
            <v>0</v>
          </cell>
          <cell r="AH15">
            <v>576</v>
          </cell>
          <cell r="AI15">
            <v>1440</v>
          </cell>
          <cell r="AJ15">
            <v>1152</v>
          </cell>
          <cell r="AK15">
            <v>1440</v>
          </cell>
          <cell r="AL15">
            <v>1440</v>
          </cell>
          <cell r="AM15">
            <v>1440</v>
          </cell>
          <cell r="AN15">
            <v>1440</v>
          </cell>
          <cell r="AO15">
            <v>1728</v>
          </cell>
          <cell r="AP15">
            <v>1440</v>
          </cell>
          <cell r="AQ15">
            <v>1440</v>
          </cell>
          <cell r="AR15">
            <v>1440</v>
          </cell>
          <cell r="AS15">
            <v>1728</v>
          </cell>
          <cell r="AT15">
            <v>885</v>
          </cell>
          <cell r="AW15">
            <v>5100001774</v>
          </cell>
          <cell r="AX15" t="str">
            <v>PRECISE TOOL &amp; DIE LIMIT</v>
          </cell>
          <cell r="AY15" t="str">
            <v xml:space="preserve">CA </v>
          </cell>
          <cell r="AZ15">
            <v>11</v>
          </cell>
          <cell r="BB15" t="str">
            <v>AADTD</v>
          </cell>
          <cell r="BC15" t="str">
            <v>AADTD-06.08.2026-(21B3)-EPDC</v>
          </cell>
          <cell r="BD15">
            <v>17500</v>
          </cell>
          <cell r="BE15">
            <v>5000</v>
          </cell>
          <cell r="BF15">
            <v>1361.4545454545455</v>
          </cell>
          <cell r="BG15">
            <v>1.7187999999999999</v>
          </cell>
          <cell r="BH15">
            <v>2325</v>
          </cell>
          <cell r="BI15">
            <v>1.7077323717948718</v>
          </cell>
          <cell r="BJ15">
            <v>3996.2099999999996</v>
          </cell>
          <cell r="BK15">
            <v>46191.246394230766</v>
          </cell>
          <cell r="BL15">
            <v>10.24639423076923</v>
          </cell>
          <cell r="BM15" t="str">
            <v>0</v>
          </cell>
          <cell r="BN15">
            <v>2325</v>
          </cell>
          <cell r="BO15">
            <v>2037</v>
          </cell>
          <cell r="BP15">
            <v>1749</v>
          </cell>
          <cell r="BQ15">
            <v>1749</v>
          </cell>
          <cell r="BR15">
            <v>1749</v>
          </cell>
          <cell r="BS15">
            <v>1749</v>
          </cell>
          <cell r="BT15">
            <v>1461</v>
          </cell>
          <cell r="BU15">
            <v>1173</v>
          </cell>
          <cell r="BV15">
            <v>885</v>
          </cell>
          <cell r="BW15">
            <v>597</v>
          </cell>
          <cell r="BX15" t="str">
            <v>FC2B1F2SML03</v>
          </cell>
          <cell r="BY15" t="str">
            <v>EA</v>
          </cell>
        </row>
        <row r="16">
          <cell r="C16" t="str">
            <v>VP9GCH-19A593-AC</v>
          </cell>
          <cell r="D16">
            <v>5000</v>
          </cell>
          <cell r="E16" t="str">
            <v>GASKET - A/C LINE SEALIN G</v>
          </cell>
          <cell r="F16">
            <v>0</v>
          </cell>
          <cell r="G16">
            <v>30000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118826</v>
          </cell>
          <cell r="N16">
            <v>-13826</v>
          </cell>
          <cell r="O16">
            <v>0</v>
          </cell>
          <cell r="P16">
            <v>213826</v>
          </cell>
          <cell r="Q16">
            <v>0</v>
          </cell>
          <cell r="R16">
            <v>44500</v>
          </cell>
          <cell r="S16">
            <v>5023</v>
          </cell>
          <cell r="T16">
            <v>13500</v>
          </cell>
          <cell r="U16">
            <v>10124</v>
          </cell>
          <cell r="V16">
            <v>13065</v>
          </cell>
          <cell r="W16">
            <v>10600</v>
          </cell>
          <cell r="X16">
            <v>13213</v>
          </cell>
          <cell r="Y16">
            <v>0</v>
          </cell>
          <cell r="Z16">
            <v>0</v>
          </cell>
          <cell r="AA16">
            <v>12859</v>
          </cell>
          <cell r="AB16">
            <v>9669</v>
          </cell>
          <cell r="AC16">
            <v>12924</v>
          </cell>
          <cell r="AD16">
            <v>10064</v>
          </cell>
          <cell r="AE16">
            <v>13568</v>
          </cell>
          <cell r="AF16">
            <v>0</v>
          </cell>
          <cell r="AG16">
            <v>0</v>
          </cell>
          <cell r="AH16">
            <v>60502</v>
          </cell>
          <cell r="AI16">
            <v>59084</v>
          </cell>
          <cell r="AJ16">
            <v>60536</v>
          </cell>
          <cell r="AK16">
            <v>61809</v>
          </cell>
          <cell r="AL16">
            <v>59118</v>
          </cell>
          <cell r="AM16">
            <v>62179</v>
          </cell>
          <cell r="AN16">
            <v>58132</v>
          </cell>
          <cell r="AO16">
            <v>58169</v>
          </cell>
          <cell r="AP16">
            <v>57385</v>
          </cell>
          <cell r="AQ16">
            <v>61663</v>
          </cell>
          <cell r="AR16">
            <v>59153</v>
          </cell>
          <cell r="AS16">
            <v>62033</v>
          </cell>
          <cell r="AT16">
            <v>-14584</v>
          </cell>
          <cell r="AW16">
            <v>5100001846</v>
          </cell>
          <cell r="AX16" t="str">
            <v>PARKER HANNIFIN CORPORAT</v>
          </cell>
          <cell r="AY16" t="str">
            <v xml:space="preserve">US </v>
          </cell>
          <cell r="AZ16">
            <v>9</v>
          </cell>
          <cell r="BB16" t="str">
            <v>AADTD</v>
          </cell>
          <cell r="BC16" t="str">
            <v>AADTD-06.08.2026-(21B3)-JHUB</v>
          </cell>
          <cell r="BE16">
            <v>105000</v>
          </cell>
          <cell r="BF16">
            <v>59793.63636363636</v>
          </cell>
          <cell r="BG16">
            <v>0.27789999999999998</v>
          </cell>
          <cell r="BH16">
            <v>74500</v>
          </cell>
          <cell r="BI16">
            <v>1.2459519863773889</v>
          </cell>
          <cell r="BJ16">
            <v>20703.55</v>
          </cell>
          <cell r="BK16">
            <v>46188.475711918261</v>
          </cell>
          <cell r="BL16">
            <v>7.4757119182643335</v>
          </cell>
          <cell r="BM16" t="str">
            <v>0</v>
          </cell>
          <cell r="BN16">
            <v>44500</v>
          </cell>
          <cell r="BO16">
            <v>31000</v>
          </cell>
          <cell r="BP16">
            <v>20876</v>
          </cell>
          <cell r="BQ16">
            <v>7811</v>
          </cell>
          <cell r="BR16">
            <v>-2789</v>
          </cell>
          <cell r="BS16">
            <v>-16002</v>
          </cell>
          <cell r="BT16">
            <v>-28861</v>
          </cell>
          <cell r="BU16">
            <v>-38530</v>
          </cell>
          <cell r="BV16">
            <v>-51454</v>
          </cell>
          <cell r="BW16">
            <v>-61518</v>
          </cell>
          <cell r="BX16" t="str">
            <v>VP9GCH-19A593-AC</v>
          </cell>
          <cell r="BY16" t="str">
            <v>EA</v>
          </cell>
        </row>
        <row r="17">
          <cell r="C17" t="str">
            <v>RMHR00073</v>
          </cell>
          <cell r="D17">
            <v>1280</v>
          </cell>
          <cell r="E17" t="str">
            <v>3/4" 4882</v>
          </cell>
          <cell r="F17">
            <v>0</v>
          </cell>
          <cell r="G17">
            <v>0</v>
          </cell>
          <cell r="I17">
            <v>0</v>
          </cell>
          <cell r="M17">
            <v>141.92610000000002</v>
          </cell>
          <cell r="N17">
            <v>5858.0739000000003</v>
          </cell>
          <cell r="O17">
            <v>2.1930000000000001</v>
          </cell>
          <cell r="Q17">
            <v>4349</v>
          </cell>
          <cell r="R17">
            <v>3698</v>
          </cell>
          <cell r="S17">
            <v>0</v>
          </cell>
          <cell r="T17">
            <v>465.48</v>
          </cell>
          <cell r="U17">
            <v>275</v>
          </cell>
          <cell r="V17">
            <v>330</v>
          </cell>
          <cell r="W17">
            <v>517.20000000000005</v>
          </cell>
          <cell r="X17">
            <v>165</v>
          </cell>
          <cell r="Y17">
            <v>0</v>
          </cell>
          <cell r="Z17">
            <v>0</v>
          </cell>
          <cell r="AA17">
            <v>568.91999999999996</v>
          </cell>
          <cell r="AB17">
            <v>165</v>
          </cell>
          <cell r="AC17">
            <v>550</v>
          </cell>
          <cell r="AD17">
            <v>918.6</v>
          </cell>
          <cell r="AE17">
            <v>0</v>
          </cell>
          <cell r="AF17">
            <v>0</v>
          </cell>
          <cell r="AG17">
            <v>0</v>
          </cell>
          <cell r="AH17">
            <v>1752.68</v>
          </cell>
          <cell r="AI17">
            <v>2202.52</v>
          </cell>
          <cell r="AJ17">
            <v>2862.52</v>
          </cell>
          <cell r="AK17">
            <v>2626.12</v>
          </cell>
          <cell r="AL17">
            <v>2457.84</v>
          </cell>
          <cell r="AM17">
            <v>3101.44</v>
          </cell>
          <cell r="AN17">
            <v>2959.4</v>
          </cell>
          <cell r="AO17">
            <v>3673.64</v>
          </cell>
          <cell r="AP17">
            <v>3126.92</v>
          </cell>
          <cell r="AQ17">
            <v>2991.44</v>
          </cell>
          <cell r="AR17">
            <v>2791.12</v>
          </cell>
          <cell r="AS17">
            <v>3094.88</v>
          </cell>
          <cell r="AT17">
            <v>1495.48</v>
          </cell>
          <cell r="AW17">
            <v>5100005131</v>
          </cell>
          <cell r="AX17" t="str">
            <v>CONTITECH USA, INC.</v>
          </cell>
          <cell r="AY17" t="str">
            <v xml:space="preserve">US </v>
          </cell>
          <cell r="AZ17">
            <v>9</v>
          </cell>
          <cell r="BB17" t="str">
            <v>AADTD</v>
          </cell>
          <cell r="BC17" t="str">
            <v>AADTD-06.08.2026-(21B3)-EPDC</v>
          </cell>
          <cell r="BD17">
            <v>2560</v>
          </cell>
          <cell r="BE17">
            <v>6000</v>
          </cell>
          <cell r="BF17">
            <v>2776.8763636363637</v>
          </cell>
          <cell r="BG17">
            <v>4.2199999999999998E-3</v>
          </cell>
          <cell r="BH17">
            <v>3700.1930000000002</v>
          </cell>
          <cell r="BI17">
            <v>1.3325018889766265</v>
          </cell>
          <cell r="BJ17">
            <v>15614.81446</v>
          </cell>
          <cell r="BK17">
            <v>46188.995011333856</v>
          </cell>
          <cell r="BL17">
            <v>7.9950113338597593</v>
          </cell>
          <cell r="BM17">
            <v>0</v>
          </cell>
          <cell r="BN17">
            <v>3698</v>
          </cell>
          <cell r="BO17">
            <v>3232.52</v>
          </cell>
          <cell r="BP17">
            <v>2957.52</v>
          </cell>
          <cell r="BQ17">
            <v>2627.52</v>
          </cell>
          <cell r="BR17">
            <v>2110.3199999999997</v>
          </cell>
          <cell r="BS17">
            <v>1945.3199999999997</v>
          </cell>
          <cell r="BT17">
            <v>1376.3999999999996</v>
          </cell>
          <cell r="BU17">
            <v>1211.3999999999996</v>
          </cell>
          <cell r="BV17">
            <v>661.39999999999964</v>
          </cell>
          <cell r="BW17">
            <v>-257.20000000000039</v>
          </cell>
          <cell r="BX17" t="str">
            <v>RMHR00073</v>
          </cell>
          <cell r="BY17" t="str">
            <v>MM</v>
          </cell>
        </row>
        <row r="18">
          <cell r="C18" t="str">
            <v>VPAH2H-50684-AA</v>
          </cell>
          <cell r="D18">
            <v>2000</v>
          </cell>
          <cell r="E18" t="str">
            <v>RIVET 3,2X8,0 BLIND STL/ STL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36605</v>
          </cell>
          <cell r="N18">
            <v>-10605</v>
          </cell>
          <cell r="O18">
            <v>0</v>
          </cell>
          <cell r="P18">
            <v>46605</v>
          </cell>
          <cell r="Q18">
            <v>10000</v>
          </cell>
          <cell r="R18">
            <v>26000</v>
          </cell>
          <cell r="S18">
            <v>0</v>
          </cell>
          <cell r="T18">
            <v>1620</v>
          </cell>
          <cell r="U18">
            <v>2088</v>
          </cell>
          <cell r="V18">
            <v>1872</v>
          </cell>
          <cell r="W18">
            <v>1872</v>
          </cell>
          <cell r="X18">
            <v>1692</v>
          </cell>
          <cell r="Y18">
            <v>0</v>
          </cell>
          <cell r="Z18">
            <v>0</v>
          </cell>
          <cell r="AA18">
            <v>2052</v>
          </cell>
          <cell r="AB18">
            <v>2160</v>
          </cell>
          <cell r="AC18">
            <v>2160</v>
          </cell>
          <cell r="AD18">
            <v>2196</v>
          </cell>
          <cell r="AE18">
            <v>2124</v>
          </cell>
          <cell r="AF18">
            <v>0</v>
          </cell>
          <cell r="AG18">
            <v>0</v>
          </cell>
          <cell r="AH18">
            <v>9144</v>
          </cell>
          <cell r="AI18">
            <v>10692</v>
          </cell>
          <cell r="AJ18">
            <v>10188</v>
          </cell>
          <cell r="AK18">
            <v>10332</v>
          </cell>
          <cell r="AL18">
            <v>10332</v>
          </cell>
          <cell r="AM18">
            <v>10908</v>
          </cell>
          <cell r="AN18">
            <v>10620</v>
          </cell>
          <cell r="AO18">
            <v>11052</v>
          </cell>
          <cell r="AP18">
            <v>10764</v>
          </cell>
          <cell r="AQ18">
            <v>10044</v>
          </cell>
          <cell r="AR18">
            <v>10044</v>
          </cell>
          <cell r="AS18">
            <v>10332</v>
          </cell>
          <cell r="AT18">
            <v>15308</v>
          </cell>
          <cell r="AW18">
            <v>5100002153</v>
          </cell>
          <cell r="AX18" t="str">
            <v>EMHART TEKNOLOGIES LLC S</v>
          </cell>
          <cell r="AY18" t="str">
            <v xml:space="preserve">US </v>
          </cell>
          <cell r="AZ18">
            <v>9</v>
          </cell>
          <cell r="BB18" t="str">
            <v>AADTD</v>
          </cell>
          <cell r="BC18" t="str">
            <v>AADTD-06.08.2026-(21B3)-EPDC</v>
          </cell>
          <cell r="BE18">
            <v>26000</v>
          </cell>
          <cell r="BF18">
            <v>10375.545454545454</v>
          </cell>
          <cell r="BG18">
            <v>3.3059999999999999E-2</v>
          </cell>
          <cell r="BH18">
            <v>26000</v>
          </cell>
          <cell r="BI18">
            <v>2.5058923517712106</v>
          </cell>
          <cell r="BJ18">
            <v>859.56</v>
          </cell>
          <cell r="BK18">
            <v>46196.035354110631</v>
          </cell>
          <cell r="BL18">
            <v>15.035354110627264</v>
          </cell>
          <cell r="BM18" t="str">
            <v>0</v>
          </cell>
          <cell r="BN18">
            <v>26000</v>
          </cell>
          <cell r="BO18">
            <v>24380</v>
          </cell>
          <cell r="BP18">
            <v>22292</v>
          </cell>
          <cell r="BQ18">
            <v>20420</v>
          </cell>
          <cell r="BR18">
            <v>18548</v>
          </cell>
          <cell r="BS18">
            <v>16856</v>
          </cell>
          <cell r="BT18">
            <v>14804</v>
          </cell>
          <cell r="BU18">
            <v>12644</v>
          </cell>
          <cell r="BV18">
            <v>10484</v>
          </cell>
          <cell r="BW18">
            <v>8288</v>
          </cell>
          <cell r="BX18" t="str">
            <v>VPAH2H-50684-AA</v>
          </cell>
          <cell r="BY18" t="str">
            <v>EA</v>
          </cell>
        </row>
        <row r="19">
          <cell r="C19" t="str">
            <v>SF0600600</v>
          </cell>
          <cell r="D19">
            <v>4500</v>
          </cell>
          <cell r="E19" t="str">
            <v>Rivet</v>
          </cell>
          <cell r="F19">
            <v>0</v>
          </cell>
          <cell r="G19">
            <v>0</v>
          </cell>
          <cell r="I19">
            <v>0</v>
          </cell>
          <cell r="M19">
            <v>36665</v>
          </cell>
          <cell r="N19">
            <v>28335</v>
          </cell>
          <cell r="O19">
            <v>9000</v>
          </cell>
          <cell r="Q19">
            <v>0</v>
          </cell>
          <cell r="R19">
            <v>16500</v>
          </cell>
          <cell r="S19">
            <v>3442</v>
          </cell>
          <cell r="T19">
            <v>3006</v>
          </cell>
          <cell r="U19">
            <v>2998</v>
          </cell>
          <cell r="V19">
            <v>3489</v>
          </cell>
          <cell r="W19">
            <v>2766</v>
          </cell>
          <cell r="X19">
            <v>2493</v>
          </cell>
          <cell r="Y19">
            <v>0</v>
          </cell>
          <cell r="Z19">
            <v>0</v>
          </cell>
          <cell r="AA19">
            <v>3163</v>
          </cell>
          <cell r="AB19">
            <v>2685</v>
          </cell>
          <cell r="AC19">
            <v>2786</v>
          </cell>
          <cell r="AD19">
            <v>3074</v>
          </cell>
          <cell r="AE19">
            <v>2656</v>
          </cell>
          <cell r="AF19">
            <v>0</v>
          </cell>
          <cell r="AG19">
            <v>0</v>
          </cell>
          <cell r="AH19">
            <v>14752</v>
          </cell>
          <cell r="AI19">
            <v>14364</v>
          </cell>
          <cell r="AJ19">
            <v>13577</v>
          </cell>
          <cell r="AK19">
            <v>14358</v>
          </cell>
          <cell r="AL19">
            <v>13550</v>
          </cell>
          <cell r="AM19">
            <v>14021</v>
          </cell>
          <cell r="AN19">
            <v>13589</v>
          </cell>
          <cell r="AO19">
            <v>14732</v>
          </cell>
          <cell r="AP19">
            <v>15357</v>
          </cell>
          <cell r="AQ19">
            <v>15383</v>
          </cell>
          <cell r="AR19">
            <v>14927</v>
          </cell>
          <cell r="AS19">
            <v>15077</v>
          </cell>
          <cell r="AT19">
            <v>2136</v>
          </cell>
          <cell r="AW19">
            <v>5100001702</v>
          </cell>
          <cell r="AX19" t="str">
            <v>EMHART TEKNOLOGIES LLC S</v>
          </cell>
          <cell r="AY19" t="str">
            <v xml:space="preserve">US </v>
          </cell>
          <cell r="AZ19">
            <v>9</v>
          </cell>
          <cell r="BB19" t="str">
            <v>AADTD</v>
          </cell>
          <cell r="BC19" t="str">
            <v>AADTD-06.08.2026-(21B3)-EPDC</v>
          </cell>
          <cell r="BE19">
            <v>65000</v>
          </cell>
          <cell r="BF19">
            <v>14419.09090909091</v>
          </cell>
          <cell r="BG19">
            <v>4.2999999999999997E-2</v>
          </cell>
          <cell r="BH19">
            <v>25500</v>
          </cell>
          <cell r="BI19">
            <v>1.7684887459807073</v>
          </cell>
          <cell r="BJ19">
            <v>1096.5</v>
          </cell>
          <cell r="BK19">
            <v>46191.610932475887</v>
          </cell>
          <cell r="BL19">
            <v>10.610932475884244</v>
          </cell>
          <cell r="BM19" t="str">
            <v>0</v>
          </cell>
          <cell r="BN19">
            <v>16500</v>
          </cell>
          <cell r="BO19">
            <v>13494</v>
          </cell>
          <cell r="BP19">
            <v>10496</v>
          </cell>
          <cell r="BQ19">
            <v>7007</v>
          </cell>
          <cell r="BR19">
            <v>4241</v>
          </cell>
          <cell r="BS19">
            <v>1748</v>
          </cell>
          <cell r="BT19">
            <v>-1415</v>
          </cell>
          <cell r="BU19">
            <v>-4100</v>
          </cell>
          <cell r="BV19">
            <v>-6886</v>
          </cell>
          <cell r="BW19">
            <v>-9960</v>
          </cell>
          <cell r="BX19" t="str">
            <v>SF0600600</v>
          </cell>
          <cell r="BY19" t="str">
            <v>EA</v>
          </cell>
        </row>
        <row r="20">
          <cell r="C20" t="str">
            <v>VP6L1H-19D701-BA</v>
          </cell>
          <cell r="D20">
            <v>2000</v>
          </cell>
          <cell r="E20" t="str">
            <v>VALVE CORE A/C CHARGE VA LVE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55877</v>
          </cell>
          <cell r="N20">
            <v>74123</v>
          </cell>
          <cell r="O20">
            <v>1</v>
          </cell>
          <cell r="P20">
            <v>99878</v>
          </cell>
          <cell r="Q20">
            <v>22000</v>
          </cell>
          <cell r="R20">
            <v>43000</v>
          </cell>
          <cell r="S20">
            <v>2002</v>
          </cell>
          <cell r="T20">
            <v>6268</v>
          </cell>
          <cell r="U20">
            <v>5238</v>
          </cell>
          <cell r="V20">
            <v>6128</v>
          </cell>
          <cell r="W20">
            <v>5336</v>
          </cell>
          <cell r="X20">
            <v>5694</v>
          </cell>
          <cell r="Y20">
            <v>0</v>
          </cell>
          <cell r="Z20">
            <v>0</v>
          </cell>
          <cell r="AA20">
            <v>5811</v>
          </cell>
          <cell r="AB20">
            <v>5087</v>
          </cell>
          <cell r="AC20">
            <v>6727</v>
          </cell>
          <cell r="AD20">
            <v>5177</v>
          </cell>
          <cell r="AE20">
            <v>6124</v>
          </cell>
          <cell r="AF20">
            <v>0</v>
          </cell>
          <cell r="AG20">
            <v>0</v>
          </cell>
          <cell r="AH20">
            <v>28664</v>
          </cell>
          <cell r="AI20">
            <v>28926</v>
          </cell>
          <cell r="AJ20">
            <v>28257</v>
          </cell>
          <cell r="AK20">
            <v>28760</v>
          </cell>
          <cell r="AL20">
            <v>28471</v>
          </cell>
          <cell r="AM20">
            <v>28046</v>
          </cell>
          <cell r="AN20">
            <v>28110</v>
          </cell>
          <cell r="AO20">
            <v>28090</v>
          </cell>
          <cell r="AP20">
            <v>27541</v>
          </cell>
          <cell r="AQ20">
            <v>27107</v>
          </cell>
          <cell r="AR20">
            <v>27654</v>
          </cell>
          <cell r="AS20">
            <v>27390</v>
          </cell>
          <cell r="AT20">
            <v>14074</v>
          </cell>
          <cell r="AW20">
            <v>5100001876</v>
          </cell>
          <cell r="AX20" t="str">
            <v>SCHRADER BRIDGEPORT INTE</v>
          </cell>
          <cell r="AY20" t="str">
            <v xml:space="preserve">US </v>
          </cell>
          <cell r="AZ20">
            <v>9</v>
          </cell>
          <cell r="BB20" t="str">
            <v>AADTD</v>
          </cell>
          <cell r="BC20" t="str">
            <v>AADTD-06.08.2026-(21B3)-EPDC</v>
          </cell>
          <cell r="BD20">
            <v>4000</v>
          </cell>
          <cell r="BE20">
            <v>130000</v>
          </cell>
          <cell r="BF20">
            <v>28147.81818181818</v>
          </cell>
          <cell r="BG20">
            <v>0.34499999999999997</v>
          </cell>
          <cell r="BH20">
            <v>43001</v>
          </cell>
          <cell r="BI20">
            <v>1.5276850135324553</v>
          </cell>
          <cell r="BJ20">
            <v>14835.344999999999</v>
          </cell>
          <cell r="BK20">
            <v>46190.166110081198</v>
          </cell>
          <cell r="BL20">
            <v>9.1661100811947325</v>
          </cell>
          <cell r="BM20" t="str">
            <v>0</v>
          </cell>
          <cell r="BN20">
            <v>43000</v>
          </cell>
          <cell r="BO20">
            <v>36732</v>
          </cell>
          <cell r="BP20">
            <v>31494</v>
          </cell>
          <cell r="BQ20">
            <v>25366</v>
          </cell>
          <cell r="BR20">
            <v>20030</v>
          </cell>
          <cell r="BS20">
            <v>14336</v>
          </cell>
          <cell r="BT20">
            <v>8525</v>
          </cell>
          <cell r="BU20">
            <v>3438</v>
          </cell>
          <cell r="BV20">
            <v>-3289</v>
          </cell>
          <cell r="BW20">
            <v>-8466</v>
          </cell>
          <cell r="BX20" t="str">
            <v>VP6L1H-19D701-BA</v>
          </cell>
          <cell r="BY20" t="str">
            <v>EA</v>
          </cell>
        </row>
        <row r="21">
          <cell r="C21" t="str">
            <v>FC2B2F2S1K01</v>
          </cell>
          <cell r="D21">
            <v>2000</v>
          </cell>
          <cell r="E21" t="str">
            <v>BRKT/CLIP-PLASTIC CLIP</v>
          </cell>
          <cell r="F21">
            <v>0</v>
          </cell>
          <cell r="G21">
            <v>0</v>
          </cell>
          <cell r="I21">
            <v>0</v>
          </cell>
          <cell r="M21">
            <v>10256</v>
          </cell>
          <cell r="N21">
            <v>744</v>
          </cell>
          <cell r="O21">
            <v>0</v>
          </cell>
          <cell r="Q21">
            <v>6000</v>
          </cell>
          <cell r="R21">
            <v>4000</v>
          </cell>
          <cell r="S21">
            <v>0</v>
          </cell>
          <cell r="T21">
            <v>864</v>
          </cell>
          <cell r="U21">
            <v>864</v>
          </cell>
          <cell r="V21">
            <v>864</v>
          </cell>
          <cell r="W21">
            <v>864</v>
          </cell>
          <cell r="X21">
            <v>864</v>
          </cell>
          <cell r="Y21">
            <v>0</v>
          </cell>
          <cell r="Z21">
            <v>0</v>
          </cell>
          <cell r="AA21">
            <v>864</v>
          </cell>
          <cell r="AB21">
            <v>864</v>
          </cell>
          <cell r="AC21">
            <v>864</v>
          </cell>
          <cell r="AD21">
            <v>864</v>
          </cell>
          <cell r="AE21">
            <v>864</v>
          </cell>
          <cell r="AF21">
            <v>0</v>
          </cell>
          <cell r="AG21">
            <v>0</v>
          </cell>
          <cell r="AH21">
            <v>4320</v>
          </cell>
          <cell r="AI21">
            <v>4320</v>
          </cell>
          <cell r="AJ21">
            <v>4320</v>
          </cell>
          <cell r="AK21">
            <v>4320</v>
          </cell>
          <cell r="AL21">
            <v>4320</v>
          </cell>
          <cell r="AM21">
            <v>4320</v>
          </cell>
          <cell r="AN21">
            <v>4320</v>
          </cell>
          <cell r="AO21">
            <v>4320</v>
          </cell>
          <cell r="AP21">
            <v>4320</v>
          </cell>
          <cell r="AQ21">
            <v>3600</v>
          </cell>
          <cell r="AR21">
            <v>3600</v>
          </cell>
          <cell r="AS21">
            <v>3600</v>
          </cell>
          <cell r="AT21">
            <v>-320</v>
          </cell>
          <cell r="AW21">
            <v>5100001964</v>
          </cell>
          <cell r="AX21" t="str">
            <v>HOOSIER MOLDED PRODUCTS</v>
          </cell>
          <cell r="AY21" t="str">
            <v xml:space="preserve">US </v>
          </cell>
          <cell r="AZ21">
            <v>9</v>
          </cell>
          <cell r="BB21" t="str">
            <v>AADTD</v>
          </cell>
          <cell r="BC21" t="str">
            <v>AADTD-06.08.2026-(21B3)-EPDC</v>
          </cell>
          <cell r="BD21">
            <v>5760</v>
          </cell>
          <cell r="BE21">
            <v>11000</v>
          </cell>
          <cell r="BF21">
            <v>4189.090909090909</v>
          </cell>
          <cell r="BG21">
            <v>6.9900000000000004E-2</v>
          </cell>
          <cell r="BH21">
            <v>4000</v>
          </cell>
          <cell r="BI21">
            <v>0.95486111111111116</v>
          </cell>
          <cell r="BJ21">
            <v>279.60000000000002</v>
          </cell>
          <cell r="BK21">
            <v>46186.729166666664</v>
          </cell>
          <cell r="BL21">
            <v>5.729166666666667</v>
          </cell>
          <cell r="BM21" t="str">
            <v>0</v>
          </cell>
          <cell r="BN21">
            <v>4000</v>
          </cell>
          <cell r="BO21">
            <v>3136</v>
          </cell>
          <cell r="BP21">
            <v>2272</v>
          </cell>
          <cell r="BQ21">
            <v>1408</v>
          </cell>
          <cell r="BR21">
            <v>544</v>
          </cell>
          <cell r="BS21">
            <v>-320</v>
          </cell>
          <cell r="BT21">
            <v>-1184</v>
          </cell>
          <cell r="BU21">
            <v>-2048</v>
          </cell>
          <cell r="BV21">
            <v>-2912</v>
          </cell>
          <cell r="BW21">
            <v>-3776</v>
          </cell>
          <cell r="BX21" t="str">
            <v>FC2B2F2S1K01</v>
          </cell>
          <cell r="BY21" t="str">
            <v>EA</v>
          </cell>
        </row>
        <row r="22">
          <cell r="C22" t="str">
            <v>3L8H-19C708-B1A</v>
          </cell>
          <cell r="D22">
            <v>1800</v>
          </cell>
          <cell r="E22" t="str">
            <v>GOOD YEAR 4890 13/32INCH</v>
          </cell>
          <cell r="F22">
            <v>0</v>
          </cell>
          <cell r="G22">
            <v>5530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2586.8362999999999</v>
          </cell>
          <cell r="N22">
            <v>2413.1637000000001</v>
          </cell>
          <cell r="O22">
            <v>0</v>
          </cell>
          <cell r="P22">
            <v>13957836.300000001</v>
          </cell>
          <cell r="Q22">
            <v>4959</v>
          </cell>
          <cell r="R22">
            <v>8880</v>
          </cell>
          <cell r="S22">
            <v>1081.1559999999999</v>
          </cell>
          <cell r="T22">
            <v>1461.4860000000001</v>
          </cell>
          <cell r="U22">
            <v>1150.8256000000001</v>
          </cell>
          <cell r="V22">
            <v>1323.83</v>
          </cell>
          <cell r="W22">
            <v>1224.712</v>
          </cell>
          <cell r="X22">
            <v>1769.37</v>
          </cell>
          <cell r="Y22">
            <v>0</v>
          </cell>
          <cell r="Z22">
            <v>0</v>
          </cell>
          <cell r="AA22">
            <v>1731.1569999999999</v>
          </cell>
          <cell r="AB22">
            <v>1264.694</v>
          </cell>
          <cell r="AC22">
            <v>1610.96</v>
          </cell>
          <cell r="AD22">
            <v>627.68700000000001</v>
          </cell>
          <cell r="AE22">
            <v>1631.61</v>
          </cell>
          <cell r="AF22">
            <v>0</v>
          </cell>
          <cell r="AG22">
            <v>0</v>
          </cell>
          <cell r="AH22">
            <v>6930.2235999999994</v>
          </cell>
          <cell r="AI22">
            <v>6866.1080000000002</v>
          </cell>
          <cell r="AJ22">
            <v>7811.7709999999997</v>
          </cell>
          <cell r="AK22">
            <v>7990.7097999999996</v>
          </cell>
          <cell r="AL22">
            <v>8211.6029999999992</v>
          </cell>
          <cell r="AM22">
            <v>9283.527</v>
          </cell>
          <cell r="AN22">
            <v>7495.8540000000003</v>
          </cell>
          <cell r="AO22">
            <v>8178.9889999999996</v>
          </cell>
          <cell r="AP22">
            <v>7269.3639999999996</v>
          </cell>
          <cell r="AQ22">
            <v>8453.9249999999993</v>
          </cell>
          <cell r="AR22">
            <v>8084.8230000000003</v>
          </cell>
          <cell r="AS22">
            <v>8694.4828000000016</v>
          </cell>
          <cell r="AT22">
            <v>2013.8920000000007</v>
          </cell>
          <cell r="AW22">
            <v>5100005131</v>
          </cell>
          <cell r="AX22" t="str">
            <v>CONTITECH USA, INC.</v>
          </cell>
          <cell r="AY22" t="str">
            <v xml:space="preserve">US </v>
          </cell>
          <cell r="AZ22">
            <v>9</v>
          </cell>
          <cell r="BB22" t="str">
            <v>AADTD</v>
          </cell>
          <cell r="BC22" t="str">
            <v>AADTD-06.08.2026-(21B3)-JHUB</v>
          </cell>
          <cell r="BD22">
            <v>3600</v>
          </cell>
          <cell r="BE22">
            <v>5000</v>
          </cell>
          <cell r="BF22">
            <v>7870.6270363636368</v>
          </cell>
          <cell r="BG22">
            <v>2.0699999999999998E-3</v>
          </cell>
          <cell r="BH22">
            <v>14410</v>
          </cell>
          <cell r="BI22">
            <v>1.8308579397071347</v>
          </cell>
          <cell r="BJ22">
            <v>29828.699999999997</v>
          </cell>
          <cell r="BK22">
            <v>46191.985147638246</v>
          </cell>
          <cell r="BL22">
            <v>10.985147638242807</v>
          </cell>
          <cell r="BM22">
            <v>0</v>
          </cell>
          <cell r="BN22">
            <v>8880</v>
          </cell>
          <cell r="BO22">
            <v>7418.5140000000001</v>
          </cell>
          <cell r="BP22">
            <v>6267.6884</v>
          </cell>
          <cell r="BQ22">
            <v>4943.8584000000001</v>
          </cell>
          <cell r="BR22">
            <v>3719.1464000000001</v>
          </cell>
          <cell r="BS22">
            <v>1949.7764000000002</v>
          </cell>
          <cell r="BT22">
            <v>218.61940000000027</v>
          </cell>
          <cell r="BU22">
            <v>-1046.0745999999997</v>
          </cell>
          <cell r="BV22">
            <v>-2657.0346</v>
          </cell>
          <cell r="BW22">
            <v>-3284.7215999999999</v>
          </cell>
          <cell r="BX22" t="str">
            <v>3L8H-19C708-B1A</v>
          </cell>
          <cell r="BY22" t="str">
            <v>MM</v>
          </cell>
        </row>
        <row r="23">
          <cell r="C23" t="str">
            <v>FC1Z0F2SBD01</v>
          </cell>
          <cell r="D23">
            <v>50</v>
          </cell>
          <cell r="E23" t="str">
            <v>HOSE-A/C FORMED-BARRIER GALAXY 3/4 4868</v>
          </cell>
          <cell r="F23">
            <v>0</v>
          </cell>
          <cell r="G23">
            <v>550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33</v>
          </cell>
          <cell r="N23">
            <v>-33</v>
          </cell>
          <cell r="O23">
            <v>0</v>
          </cell>
          <cell r="P23">
            <v>7383</v>
          </cell>
          <cell r="Q23">
            <v>0</v>
          </cell>
          <cell r="R23">
            <v>6800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18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18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6782</v>
          </cell>
          <cell r="AV23" t="str">
            <v>Servicios P702 BEV MCA</v>
          </cell>
          <cell r="AW23">
            <v>5100001667</v>
          </cell>
          <cell r="AX23" t="str">
            <v>CONTITECH NORTH AMERICA,</v>
          </cell>
          <cell r="AY23" t="str">
            <v xml:space="preserve">US </v>
          </cell>
          <cell r="AZ23" t="e">
            <v>#N/A</v>
          </cell>
          <cell r="BB23" t="str">
            <v>AADTD</v>
          </cell>
          <cell r="BC23" t="str">
            <v>AADTD-06.08.2026-(21B3)-JHUB</v>
          </cell>
          <cell r="BE23">
            <v>0</v>
          </cell>
          <cell r="BF23">
            <v>2.6363636363636367</v>
          </cell>
          <cell r="BG23">
            <v>3.57</v>
          </cell>
          <cell r="BH23">
            <v>7350</v>
          </cell>
          <cell r="BI23">
            <v>2787.9310344827582</v>
          </cell>
          <cell r="BJ23">
            <v>26239.5</v>
          </cell>
          <cell r="BK23">
            <v>62908.586206896551</v>
          </cell>
          <cell r="BL23">
            <v>16727.586206896551</v>
          </cell>
          <cell r="BM23" t="str">
            <v>0</v>
          </cell>
          <cell r="BN23">
            <v>6800</v>
          </cell>
          <cell r="BO23">
            <v>6800</v>
          </cell>
          <cell r="BP23">
            <v>6800</v>
          </cell>
          <cell r="BQ23">
            <v>6800</v>
          </cell>
          <cell r="BR23">
            <v>6800</v>
          </cell>
          <cell r="BS23">
            <v>6800</v>
          </cell>
          <cell r="BT23">
            <v>6800</v>
          </cell>
          <cell r="BU23">
            <v>6782</v>
          </cell>
          <cell r="BV23">
            <v>6782</v>
          </cell>
          <cell r="BW23">
            <v>6782</v>
          </cell>
          <cell r="BY23" t="str">
            <v>EA</v>
          </cell>
        </row>
        <row r="24">
          <cell r="C24" t="str">
            <v>FC1E1F2S3X01</v>
          </cell>
          <cell r="D24">
            <v>1195</v>
          </cell>
          <cell r="E24" t="str">
            <v>shipping cap Male SSL dual 3/8" -3/4"</v>
          </cell>
          <cell r="F24">
            <v>0</v>
          </cell>
          <cell r="G24">
            <v>29875</v>
          </cell>
          <cell r="I24">
            <v>0</v>
          </cell>
          <cell r="M24">
            <v>-5902</v>
          </cell>
          <cell r="N24">
            <v>65902</v>
          </cell>
          <cell r="O24">
            <v>0</v>
          </cell>
          <cell r="Q24">
            <v>74090</v>
          </cell>
          <cell r="R24">
            <v>68115</v>
          </cell>
          <cell r="S24">
            <v>2627</v>
          </cell>
          <cell r="T24">
            <v>6212</v>
          </cell>
          <cell r="U24">
            <v>8388</v>
          </cell>
          <cell r="V24">
            <v>8371</v>
          </cell>
          <cell r="W24">
            <v>8322</v>
          </cell>
          <cell r="X24">
            <v>8339</v>
          </cell>
          <cell r="Y24">
            <v>0</v>
          </cell>
          <cell r="Z24">
            <v>0</v>
          </cell>
          <cell r="AA24">
            <v>8173</v>
          </cell>
          <cell r="AB24">
            <v>8145</v>
          </cell>
          <cell r="AC24">
            <v>8064</v>
          </cell>
          <cell r="AD24">
            <v>8046</v>
          </cell>
          <cell r="AE24">
            <v>8276</v>
          </cell>
          <cell r="AF24">
            <v>0</v>
          </cell>
          <cell r="AG24">
            <v>0</v>
          </cell>
          <cell r="AH24">
            <v>39632</v>
          </cell>
          <cell r="AI24">
            <v>40704</v>
          </cell>
          <cell r="AJ24">
            <v>40315</v>
          </cell>
          <cell r="AK24">
            <v>40324</v>
          </cell>
          <cell r="AL24">
            <v>38960</v>
          </cell>
          <cell r="AM24">
            <v>39277</v>
          </cell>
          <cell r="AN24">
            <v>39129</v>
          </cell>
          <cell r="AO24">
            <v>39178</v>
          </cell>
          <cell r="AP24">
            <v>39219</v>
          </cell>
          <cell r="AQ24">
            <v>39493</v>
          </cell>
          <cell r="AR24">
            <v>39240</v>
          </cell>
          <cell r="AS24">
            <v>39209</v>
          </cell>
          <cell r="AT24">
            <v>27411</v>
          </cell>
          <cell r="AW24">
            <v>5100001970</v>
          </cell>
          <cell r="AX24" t="str">
            <v>SINCLAIR &amp; RUSH, INC.</v>
          </cell>
          <cell r="AY24" t="str">
            <v xml:space="preserve">US </v>
          </cell>
          <cell r="AZ24">
            <v>9</v>
          </cell>
          <cell r="BB24" t="str">
            <v>AADTD</v>
          </cell>
          <cell r="BC24" t="str">
            <v>AADTD-06.08.2026-(21B3)-JHUB</v>
          </cell>
          <cell r="BE24">
            <v>60000</v>
          </cell>
          <cell r="BF24">
            <v>39588.272727272728</v>
          </cell>
          <cell r="BG24">
            <v>7.8E-2</v>
          </cell>
          <cell r="BH24">
            <v>97990</v>
          </cell>
          <cell r="BI24">
            <v>2.4752279715526408</v>
          </cell>
          <cell r="BJ24">
            <v>7643.22</v>
          </cell>
          <cell r="BK24">
            <v>46195.851367829317</v>
          </cell>
          <cell r="BL24">
            <v>14.851367829315844</v>
          </cell>
          <cell r="BM24" t="str">
            <v>0</v>
          </cell>
          <cell r="BN24">
            <v>68115</v>
          </cell>
          <cell r="BO24">
            <v>61903</v>
          </cell>
          <cell r="BP24">
            <v>53515</v>
          </cell>
          <cell r="BQ24">
            <v>45144</v>
          </cell>
          <cell r="BR24">
            <v>36822</v>
          </cell>
          <cell r="BS24">
            <v>28483</v>
          </cell>
          <cell r="BT24">
            <v>20310</v>
          </cell>
          <cell r="BU24">
            <v>12165</v>
          </cell>
          <cell r="BV24">
            <v>4101</v>
          </cell>
          <cell r="BW24">
            <v>-3945</v>
          </cell>
          <cell r="BX24" t="str">
            <v>FC1E1F2S3X01</v>
          </cell>
          <cell r="BY24" t="str">
            <v>EA</v>
          </cell>
        </row>
        <row r="25">
          <cell r="C25" t="str">
            <v>3L8H-19C708-D1A</v>
          </cell>
          <cell r="D25">
            <v>1</v>
          </cell>
          <cell r="E25" t="str">
            <v>GOOD YEAR 4890 5/8INCH</v>
          </cell>
          <cell r="F25">
            <v>0</v>
          </cell>
          <cell r="G25">
            <v>838</v>
          </cell>
          <cell r="I25">
            <v>0</v>
          </cell>
          <cell r="M25">
            <v>3059.857</v>
          </cell>
          <cell r="N25">
            <v>940.14300000000003</v>
          </cell>
          <cell r="O25">
            <v>0</v>
          </cell>
          <cell r="Q25">
            <v>7489</v>
          </cell>
          <cell r="R25">
            <v>6973</v>
          </cell>
          <cell r="S25">
            <v>210.5334</v>
          </cell>
          <cell r="T25">
            <v>512.322</v>
          </cell>
          <cell r="U25">
            <v>702.87</v>
          </cell>
          <cell r="V25">
            <v>909.13800000000003</v>
          </cell>
          <cell r="W25">
            <v>893.59199999999998</v>
          </cell>
          <cell r="X25">
            <v>845.86500000000001</v>
          </cell>
          <cell r="Y25">
            <v>0</v>
          </cell>
          <cell r="Z25">
            <v>0</v>
          </cell>
          <cell r="AA25">
            <v>780.06</v>
          </cell>
          <cell r="AB25">
            <v>1010.424</v>
          </cell>
          <cell r="AC25">
            <v>790.77599999999995</v>
          </cell>
          <cell r="AD25">
            <v>962.13</v>
          </cell>
          <cell r="AE25">
            <v>858.45899999999995</v>
          </cell>
          <cell r="AF25">
            <v>0</v>
          </cell>
          <cell r="AG25">
            <v>0</v>
          </cell>
          <cell r="AH25">
            <v>3863.7869999999998</v>
          </cell>
          <cell r="AI25">
            <v>4401.8490000000002</v>
          </cell>
          <cell r="AJ25">
            <v>4270.8599999999997</v>
          </cell>
          <cell r="AK25">
            <v>4019.1538999999998</v>
          </cell>
          <cell r="AL25">
            <v>4786.7165999999997</v>
          </cell>
          <cell r="AM25">
            <v>4039.2310000000002</v>
          </cell>
          <cell r="AN25">
            <v>4567.0479999999998</v>
          </cell>
          <cell r="AO25">
            <v>4882.5360000000001</v>
          </cell>
          <cell r="AP25">
            <v>3738.6559999999999</v>
          </cell>
          <cell r="AQ25">
            <v>4053.8229999999999</v>
          </cell>
          <cell r="AR25">
            <v>4805.9530000000004</v>
          </cell>
          <cell r="AS25">
            <v>4116.3180000000002</v>
          </cell>
          <cell r="AT25">
            <v>2571.1509999999998</v>
          </cell>
          <cell r="AW25">
            <v>5100005131</v>
          </cell>
          <cell r="AX25" t="str">
            <v>CONTITECH USA, INC.</v>
          </cell>
          <cell r="AY25" t="str">
            <v xml:space="preserve">US </v>
          </cell>
          <cell r="AZ25">
            <v>9</v>
          </cell>
          <cell r="BB25" t="str">
            <v>AADTD</v>
          </cell>
          <cell r="BC25" t="str">
            <v>AADTD-06.08.2026-(21B3)-JHUB</v>
          </cell>
          <cell r="BD25">
            <v>2</v>
          </cell>
          <cell r="BE25">
            <v>4000</v>
          </cell>
          <cell r="BF25">
            <v>4311.7830454545456</v>
          </cell>
          <cell r="BG25">
            <v>2.81E-3</v>
          </cell>
          <cell r="BH25">
            <v>7811</v>
          </cell>
          <cell r="BI25">
            <v>1.8115475471880031</v>
          </cell>
          <cell r="BJ25">
            <v>21948.91</v>
          </cell>
          <cell r="BK25">
            <v>46191.86928528313</v>
          </cell>
          <cell r="BL25">
            <v>10.869285283128018</v>
          </cell>
          <cell r="BM25">
            <v>0</v>
          </cell>
          <cell r="BN25">
            <v>6973</v>
          </cell>
          <cell r="BO25">
            <v>6460.6779999999999</v>
          </cell>
          <cell r="BP25">
            <v>5757.808</v>
          </cell>
          <cell r="BQ25">
            <v>4848.67</v>
          </cell>
          <cell r="BR25">
            <v>3955.078</v>
          </cell>
          <cell r="BS25">
            <v>3109.2129999999997</v>
          </cell>
          <cell r="BT25">
            <v>2329.1529999999998</v>
          </cell>
          <cell r="BU25">
            <v>1318.7289999999998</v>
          </cell>
          <cell r="BV25">
            <v>527.95299999999986</v>
          </cell>
          <cell r="BW25">
            <v>-434.17700000000013</v>
          </cell>
          <cell r="BX25" t="str">
            <v>3L8H-19C708-D1A</v>
          </cell>
          <cell r="BY25" t="str">
            <v>MM</v>
          </cell>
        </row>
        <row r="26">
          <cell r="C26" t="str">
            <v>FC1Z0F2SBE02</v>
          </cell>
          <cell r="D26">
            <v>50</v>
          </cell>
          <cell r="E26" t="str">
            <v>HOSE-A/C FORMED-BARRIER GALAXY 5/8 4886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3650</v>
          </cell>
          <cell r="Q26">
            <v>0</v>
          </cell>
          <cell r="R26">
            <v>3650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3650</v>
          </cell>
          <cell r="AV26" t="str">
            <v>Servicios P702 BEV MCA</v>
          </cell>
          <cell r="AW26">
            <v>5100001667</v>
          </cell>
          <cell r="AX26" t="str">
            <v>CONTITECH NORTH AMERICA,</v>
          </cell>
          <cell r="AY26" t="str">
            <v xml:space="preserve">US </v>
          </cell>
          <cell r="AZ26" t="e">
            <v>#N/A</v>
          </cell>
          <cell r="BB26" t="str">
            <v>AADTD</v>
          </cell>
          <cell r="BC26" t="str">
            <v>AADTD-06.08.2026-(21B3)-EPDC</v>
          </cell>
          <cell r="BE26">
            <v>0</v>
          </cell>
          <cell r="BF26">
            <v>1</v>
          </cell>
          <cell r="BG26">
            <v>4.0949999999999998</v>
          </cell>
          <cell r="BH26">
            <v>3650</v>
          </cell>
          <cell r="BI26">
            <v>3650</v>
          </cell>
          <cell r="BJ26">
            <v>14946.75</v>
          </cell>
          <cell r="BK26">
            <v>68081</v>
          </cell>
          <cell r="BL26">
            <v>21900</v>
          </cell>
          <cell r="BM26" t="str">
            <v>0</v>
          </cell>
          <cell r="BN26">
            <v>3650</v>
          </cell>
          <cell r="BO26">
            <v>3650</v>
          </cell>
          <cell r="BP26">
            <v>3650</v>
          </cell>
          <cell r="BQ26">
            <v>3650</v>
          </cell>
          <cell r="BR26">
            <v>3650</v>
          </cell>
          <cell r="BS26">
            <v>3650</v>
          </cell>
          <cell r="BT26">
            <v>3650</v>
          </cell>
          <cell r="BU26">
            <v>3650</v>
          </cell>
          <cell r="BV26">
            <v>3650</v>
          </cell>
          <cell r="BW26">
            <v>3650</v>
          </cell>
          <cell r="BY26" t="str">
            <v>EA</v>
          </cell>
        </row>
        <row r="27">
          <cell r="C27" t="str">
            <v>VP6XPH-18K459-CA</v>
          </cell>
          <cell r="D27">
            <v>2700</v>
          </cell>
          <cell r="E27" t="str">
            <v>SLV-HTR HOS PROT</v>
          </cell>
          <cell r="F27">
            <v>0</v>
          </cell>
          <cell r="G27">
            <v>3600</v>
          </cell>
          <cell r="I27">
            <v>0</v>
          </cell>
          <cell r="M27">
            <v>2581.6010000000001</v>
          </cell>
          <cell r="N27">
            <v>11318.398999999999</v>
          </cell>
          <cell r="O27">
            <v>0</v>
          </cell>
          <cell r="Q27">
            <v>3600</v>
          </cell>
          <cell r="R27">
            <v>6620</v>
          </cell>
          <cell r="S27">
            <v>24010</v>
          </cell>
          <cell r="T27">
            <v>1151.838</v>
          </cell>
          <cell r="U27">
            <v>515.55999999999995</v>
          </cell>
          <cell r="V27">
            <v>1247.838</v>
          </cell>
          <cell r="W27">
            <v>909.21600000000001</v>
          </cell>
          <cell r="X27">
            <v>1110.5</v>
          </cell>
          <cell r="Y27">
            <v>0</v>
          </cell>
          <cell r="Z27">
            <v>0</v>
          </cell>
          <cell r="AA27">
            <v>1013.616</v>
          </cell>
          <cell r="AB27">
            <v>1087.1279999999999</v>
          </cell>
          <cell r="AC27">
            <v>909.21600000000001</v>
          </cell>
          <cell r="AD27">
            <v>1282.896</v>
          </cell>
          <cell r="AE27">
            <v>1087.1279999999999</v>
          </cell>
          <cell r="AF27">
            <v>0</v>
          </cell>
          <cell r="AG27">
            <v>0</v>
          </cell>
          <cell r="AH27">
            <v>4934.9520000000002</v>
          </cell>
          <cell r="AI27">
            <v>5379.9840000000004</v>
          </cell>
          <cell r="AJ27">
            <v>5394.2039999999997</v>
          </cell>
          <cell r="AK27">
            <v>5417.9260000000004</v>
          </cell>
          <cell r="AL27">
            <v>5570.6509999999998</v>
          </cell>
          <cell r="AM27">
            <v>5288.5259999999998</v>
          </cell>
          <cell r="AN27">
            <v>5287.27</v>
          </cell>
          <cell r="AO27">
            <v>5507.2569999999996</v>
          </cell>
          <cell r="AP27">
            <v>5544.0879999999997</v>
          </cell>
          <cell r="AQ27">
            <v>5417.9260000000004</v>
          </cell>
          <cell r="AR27">
            <v>5417.9260000000004</v>
          </cell>
          <cell r="AS27">
            <v>5557.1480000000001</v>
          </cell>
          <cell r="AT27">
            <v>1240.0160000000005</v>
          </cell>
          <cell r="AW27">
            <v>5100002018</v>
          </cell>
          <cell r="AX27" t="str">
            <v>TYCO ELECTRONICS</v>
          </cell>
          <cell r="AY27" t="str">
            <v xml:space="preserve">US </v>
          </cell>
          <cell r="AZ27">
            <v>9</v>
          </cell>
          <cell r="BB27" t="str">
            <v>AADTD</v>
          </cell>
          <cell r="BC27" t="str">
            <v>AADTD-06.08.2026-(21B3)-JHUB</v>
          </cell>
          <cell r="BD27">
            <v>5000</v>
          </cell>
          <cell r="BE27">
            <v>13900</v>
          </cell>
          <cell r="BF27">
            <v>5378.2463636363645</v>
          </cell>
          <cell r="BG27">
            <v>7.5000000000000002E-4</v>
          </cell>
          <cell r="BH27">
            <v>10220</v>
          </cell>
          <cell r="BI27">
            <v>1.9002476474673813</v>
          </cell>
          <cell r="BJ27">
            <v>7665</v>
          </cell>
          <cell r="BK27">
            <v>46192.401485884802</v>
          </cell>
          <cell r="BL27">
            <v>11.401485884804288</v>
          </cell>
          <cell r="BM27">
            <v>0</v>
          </cell>
          <cell r="BN27">
            <v>6620</v>
          </cell>
          <cell r="BO27">
            <v>5468.1620000000003</v>
          </cell>
          <cell r="BP27">
            <v>4952.6020000000008</v>
          </cell>
          <cell r="BQ27">
            <v>3704.764000000001</v>
          </cell>
          <cell r="BR27">
            <v>2795.5480000000011</v>
          </cell>
          <cell r="BS27">
            <v>1685.0480000000011</v>
          </cell>
          <cell r="BT27">
            <v>671.43200000000115</v>
          </cell>
          <cell r="BU27">
            <v>-415.69599999999878</v>
          </cell>
          <cell r="BV27">
            <v>-1324.9119999999989</v>
          </cell>
          <cell r="BW27">
            <v>-2607.8079999999991</v>
          </cell>
          <cell r="BX27" t="str">
            <v>VP6XPH-18K459-CA</v>
          </cell>
          <cell r="BY27" t="str">
            <v>MM</v>
          </cell>
        </row>
        <row r="28">
          <cell r="C28" t="str">
            <v>VP6XPH-19F552-D1A</v>
          </cell>
          <cell r="D28">
            <v>1</v>
          </cell>
          <cell r="E28" t="str">
            <v>RAW MATERIAL 5/8INCH HOS E GY 4880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826.58199999999999</v>
          </cell>
          <cell r="N28">
            <v>673.41800000000001</v>
          </cell>
          <cell r="O28">
            <v>0</v>
          </cell>
          <cell r="P28">
            <v>1768582</v>
          </cell>
          <cell r="Q28">
            <v>0</v>
          </cell>
          <cell r="R28">
            <v>942</v>
          </cell>
          <cell r="S28">
            <v>11.596</v>
          </cell>
          <cell r="T28">
            <v>84.42</v>
          </cell>
          <cell r="U28">
            <v>84.42</v>
          </cell>
          <cell r="V28">
            <v>85.760999999999996</v>
          </cell>
          <cell r="W28">
            <v>84.42</v>
          </cell>
          <cell r="X28">
            <v>87.397000000000006</v>
          </cell>
          <cell r="Y28">
            <v>0</v>
          </cell>
          <cell r="Z28">
            <v>0</v>
          </cell>
          <cell r="AA28">
            <v>84.42</v>
          </cell>
          <cell r="AB28">
            <v>84.42</v>
          </cell>
          <cell r="AC28">
            <v>90.230999999999995</v>
          </cell>
          <cell r="AD28">
            <v>84.42</v>
          </cell>
          <cell r="AE28">
            <v>87.397000000000006</v>
          </cell>
          <cell r="AF28">
            <v>0</v>
          </cell>
          <cell r="AG28">
            <v>0</v>
          </cell>
          <cell r="AH28">
            <v>426.41800000000001</v>
          </cell>
          <cell r="AI28">
            <v>430.88799999999998</v>
          </cell>
          <cell r="AJ28">
            <v>422.1</v>
          </cell>
          <cell r="AK28">
            <v>424.31329999999997</v>
          </cell>
          <cell r="AL28">
            <v>418.46</v>
          </cell>
          <cell r="AM28">
            <v>416.54829999999998</v>
          </cell>
          <cell r="AN28">
            <v>399.11529999999999</v>
          </cell>
          <cell r="AO28">
            <v>398.65</v>
          </cell>
          <cell r="AP28">
            <v>400.51120000000003</v>
          </cell>
          <cell r="AQ28">
            <v>398.65</v>
          </cell>
          <cell r="AR28">
            <v>398.65</v>
          </cell>
          <cell r="AS28">
            <v>402.25799999999998</v>
          </cell>
          <cell r="AT28">
            <v>511.11199999999997</v>
          </cell>
          <cell r="AW28">
            <v>5100005131</v>
          </cell>
          <cell r="AX28" t="str">
            <v>CONTITECH USA, INC.</v>
          </cell>
          <cell r="AY28" t="str">
            <v xml:space="preserve">US </v>
          </cell>
          <cell r="AZ28">
            <v>9</v>
          </cell>
          <cell r="BB28" t="str">
            <v>AADTD</v>
          </cell>
          <cell r="BC28" t="str">
            <v>AADTD-06.08.2026-(21B3)-EPDC</v>
          </cell>
          <cell r="BE28">
            <v>1500</v>
          </cell>
          <cell r="BF28">
            <v>412.20946363636358</v>
          </cell>
          <cell r="BG28">
            <v>3.3799999999999998E-3</v>
          </cell>
          <cell r="BH28">
            <v>942</v>
          </cell>
          <cell r="BI28">
            <v>2.2852459322258518</v>
          </cell>
          <cell r="BJ28">
            <v>3183.96</v>
          </cell>
          <cell r="BK28">
            <v>46194.711475593358</v>
          </cell>
          <cell r="BL28">
            <v>13.711475593355111</v>
          </cell>
          <cell r="BM28">
            <v>0</v>
          </cell>
          <cell r="BN28">
            <v>942</v>
          </cell>
          <cell r="BO28">
            <v>857.58</v>
          </cell>
          <cell r="BP28">
            <v>773.16000000000008</v>
          </cell>
          <cell r="BQ28">
            <v>687.39900000000011</v>
          </cell>
          <cell r="BR28">
            <v>602.97900000000016</v>
          </cell>
          <cell r="BS28">
            <v>515.58200000000011</v>
          </cell>
          <cell r="BT28">
            <v>431.16200000000009</v>
          </cell>
          <cell r="BU28">
            <v>346.74200000000008</v>
          </cell>
          <cell r="BV28">
            <v>256.51100000000008</v>
          </cell>
          <cell r="BW28">
            <v>172.09100000000007</v>
          </cell>
          <cell r="BX28" t="str">
            <v>VP6XPH-19F552-D1A</v>
          </cell>
          <cell r="BY28" t="str">
            <v>MM</v>
          </cell>
        </row>
        <row r="29">
          <cell r="C29" t="str">
            <v>VPBK3H-19C819-AA</v>
          </cell>
          <cell r="D29">
            <v>1200</v>
          </cell>
          <cell r="E29" t="str">
            <v>GROMMET - A/C TUBE BRACK ET</v>
          </cell>
          <cell r="F29">
            <v>0</v>
          </cell>
          <cell r="G29">
            <v>8400</v>
          </cell>
          <cell r="I29">
            <v>0</v>
          </cell>
          <cell r="M29">
            <v>1403</v>
          </cell>
          <cell r="N29">
            <v>18097</v>
          </cell>
          <cell r="O29">
            <v>0</v>
          </cell>
          <cell r="Q29">
            <v>39600</v>
          </cell>
          <cell r="R29">
            <v>13200</v>
          </cell>
          <cell r="S29">
            <v>198</v>
          </cell>
          <cell r="T29">
            <v>2670</v>
          </cell>
          <cell r="U29">
            <v>1080</v>
          </cell>
          <cell r="V29">
            <v>2190</v>
          </cell>
          <cell r="W29">
            <v>2112</v>
          </cell>
          <cell r="X29">
            <v>2340</v>
          </cell>
          <cell r="Y29">
            <v>0</v>
          </cell>
          <cell r="Z29">
            <v>0</v>
          </cell>
          <cell r="AA29">
            <v>2352</v>
          </cell>
          <cell r="AB29">
            <v>2520</v>
          </cell>
          <cell r="AC29">
            <v>2112</v>
          </cell>
          <cell r="AD29">
            <v>1920</v>
          </cell>
          <cell r="AE29">
            <v>2630</v>
          </cell>
          <cell r="AF29">
            <v>0</v>
          </cell>
          <cell r="AG29">
            <v>0</v>
          </cell>
          <cell r="AH29">
            <v>10392</v>
          </cell>
          <cell r="AI29">
            <v>11534</v>
          </cell>
          <cell r="AJ29">
            <v>11894</v>
          </cell>
          <cell r="AK29">
            <v>11046</v>
          </cell>
          <cell r="AL29">
            <v>11586</v>
          </cell>
          <cell r="AM29">
            <v>11214</v>
          </cell>
          <cell r="AN29">
            <v>11534</v>
          </cell>
          <cell r="AO29">
            <v>11650</v>
          </cell>
          <cell r="AP29">
            <v>11512</v>
          </cell>
          <cell r="AQ29">
            <v>11244</v>
          </cell>
          <cell r="AR29">
            <v>11046</v>
          </cell>
          <cell r="AS29">
            <v>11292</v>
          </cell>
          <cell r="AT29">
            <v>1666</v>
          </cell>
          <cell r="AW29">
            <v>5100001892</v>
          </cell>
          <cell r="AX29" t="str">
            <v>DAEJUNG S.R. (SPECIAL RU</v>
          </cell>
          <cell r="AY29" t="str">
            <v xml:space="preserve">US </v>
          </cell>
          <cell r="AZ29">
            <v>9</v>
          </cell>
          <cell r="BB29" t="str">
            <v>AADTD</v>
          </cell>
          <cell r="BC29" t="str">
            <v>AADTD-06.08.2026-(21B3)-JHUB</v>
          </cell>
          <cell r="BE29">
            <v>19500</v>
          </cell>
          <cell r="BF29">
            <v>11332</v>
          </cell>
          <cell r="BG29">
            <v>0.2334</v>
          </cell>
          <cell r="BH29">
            <v>21600</v>
          </cell>
          <cell r="BI29">
            <v>1.9061066007765619</v>
          </cell>
          <cell r="BJ29">
            <v>5041.4399999999996</v>
          </cell>
          <cell r="BK29">
            <v>46192.436639604661</v>
          </cell>
          <cell r="BL29">
            <v>11.436639604659371</v>
          </cell>
          <cell r="BM29" t="str">
            <v>0</v>
          </cell>
          <cell r="BN29">
            <v>13200</v>
          </cell>
          <cell r="BO29">
            <v>10530</v>
          </cell>
          <cell r="BP29">
            <v>9450</v>
          </cell>
          <cell r="BQ29">
            <v>7260</v>
          </cell>
          <cell r="BR29">
            <v>5148</v>
          </cell>
          <cell r="BS29">
            <v>2808</v>
          </cell>
          <cell r="BT29">
            <v>456</v>
          </cell>
          <cell r="BU29">
            <v>-2064</v>
          </cell>
          <cell r="BV29">
            <v>-4176</v>
          </cell>
          <cell r="BW29">
            <v>-6096</v>
          </cell>
          <cell r="BX29" t="str">
            <v>VPBK3H-19C819-AA</v>
          </cell>
          <cell r="BY29" t="str">
            <v>EA</v>
          </cell>
        </row>
        <row r="30">
          <cell r="C30" t="str">
            <v>Z350-GY15-A01</v>
          </cell>
          <cell r="D30">
            <v>800</v>
          </cell>
          <cell r="E30" t="str">
            <v>Hose - A/C (Bulk)barrier 4882 - 5/8"</v>
          </cell>
          <cell r="F30">
            <v>0</v>
          </cell>
          <cell r="G30">
            <v>1554</v>
          </cell>
          <cell r="I30">
            <v>0</v>
          </cell>
          <cell r="M30">
            <v>284.7996</v>
          </cell>
          <cell r="N30">
            <v>5315.2003999999997</v>
          </cell>
          <cell r="O30">
            <v>0</v>
          </cell>
          <cell r="Q30">
            <v>7510</v>
          </cell>
          <cell r="R30">
            <v>9634</v>
          </cell>
          <cell r="S30">
            <v>577.53359999999998</v>
          </cell>
          <cell r="T30">
            <v>1121.54</v>
          </cell>
          <cell r="U30">
            <v>1132.24</v>
          </cell>
          <cell r="V30">
            <v>1325.876</v>
          </cell>
          <cell r="W30">
            <v>1141.2639999999999</v>
          </cell>
          <cell r="X30">
            <v>1040.79</v>
          </cell>
          <cell r="Y30">
            <v>0</v>
          </cell>
          <cell r="Z30">
            <v>0</v>
          </cell>
          <cell r="AA30">
            <v>1158.144</v>
          </cell>
          <cell r="AB30">
            <v>1159.546</v>
          </cell>
          <cell r="AC30">
            <v>1116.5260000000001</v>
          </cell>
          <cell r="AD30">
            <v>1237.616</v>
          </cell>
          <cell r="AE30">
            <v>1045.3979999999999</v>
          </cell>
          <cell r="AF30">
            <v>0</v>
          </cell>
          <cell r="AG30">
            <v>0</v>
          </cell>
          <cell r="AH30">
            <v>5761.71</v>
          </cell>
          <cell r="AI30">
            <v>5717.23</v>
          </cell>
          <cell r="AJ30">
            <v>5498.5879999999997</v>
          </cell>
          <cell r="AK30">
            <v>5706.3360000000002</v>
          </cell>
          <cell r="AL30">
            <v>5538.9804000000004</v>
          </cell>
          <cell r="AM30">
            <v>5618.366</v>
          </cell>
          <cell r="AN30">
            <v>5595.1540000000005</v>
          </cell>
          <cell r="AO30">
            <v>5842.4120000000003</v>
          </cell>
          <cell r="AP30">
            <v>5948.5659999999998</v>
          </cell>
          <cell r="AQ30">
            <v>5883.0237999999999</v>
          </cell>
          <cell r="AR30">
            <v>5841.8140000000003</v>
          </cell>
          <cell r="AS30">
            <v>5889.9920000000002</v>
          </cell>
          <cell r="AT30">
            <v>3916.7699999999995</v>
          </cell>
          <cell r="AW30">
            <v>5100005131</v>
          </cell>
          <cell r="AX30" t="str">
            <v>CONTITECH USA, INC.</v>
          </cell>
          <cell r="AY30" t="str">
            <v xml:space="preserve">US </v>
          </cell>
          <cell r="AZ30">
            <v>9</v>
          </cell>
          <cell r="BB30" t="str">
            <v>AADTD</v>
          </cell>
          <cell r="BC30" t="str">
            <v>AADTD-06.08.2026-(21B3)-JHUB</v>
          </cell>
          <cell r="BD30">
            <v>16000</v>
          </cell>
          <cell r="BE30">
            <v>5600</v>
          </cell>
          <cell r="BF30">
            <v>5722.9254727272728</v>
          </cell>
          <cell r="BG30">
            <v>3.5400000000000002E-3</v>
          </cell>
          <cell r="BH30">
            <v>11188</v>
          </cell>
          <cell r="BI30">
            <v>1.9549442069998395</v>
          </cell>
          <cell r="BJ30">
            <v>39605.519999999997</v>
          </cell>
          <cell r="BK30">
            <v>46192.729665241997</v>
          </cell>
          <cell r="BL30">
            <v>11.729665241999037</v>
          </cell>
          <cell r="BM30">
            <v>0</v>
          </cell>
          <cell r="BN30">
            <v>9634</v>
          </cell>
          <cell r="BO30">
            <v>8512.4599999999991</v>
          </cell>
          <cell r="BP30">
            <v>7380.2199999999993</v>
          </cell>
          <cell r="BQ30">
            <v>6054.3439999999991</v>
          </cell>
          <cell r="BR30">
            <v>4913.079999999999</v>
          </cell>
          <cell r="BS30">
            <v>3872.2899999999991</v>
          </cell>
          <cell r="BT30">
            <v>2714.1459999999988</v>
          </cell>
          <cell r="BU30">
            <v>1554.5999999999988</v>
          </cell>
          <cell r="BV30">
            <v>438.0739999999987</v>
          </cell>
          <cell r="BW30">
            <v>-799.54200000000128</v>
          </cell>
          <cell r="BX30" t="str">
            <v>Z350-GY15-A01</v>
          </cell>
          <cell r="BY30" t="str">
            <v>MM</v>
          </cell>
        </row>
        <row r="31">
          <cell r="C31" t="str">
            <v>FC1B4F2S2D01</v>
          </cell>
          <cell r="D31">
            <v>250</v>
          </cell>
          <cell r="E31" t="str">
            <v>SLV HT ALU SELF WRAP SLV HT ALU SELF WRA</v>
          </cell>
          <cell r="F31">
            <v>0</v>
          </cell>
          <cell r="G31">
            <v>0</v>
          </cell>
          <cell r="I31">
            <v>0</v>
          </cell>
          <cell r="M31">
            <v>913</v>
          </cell>
          <cell r="N31">
            <v>2287</v>
          </cell>
          <cell r="O31">
            <v>0</v>
          </cell>
          <cell r="Q31">
            <v>0</v>
          </cell>
          <cell r="R31">
            <v>2500</v>
          </cell>
          <cell r="S31">
            <v>0</v>
          </cell>
          <cell r="T31">
            <v>0</v>
          </cell>
          <cell r="U31">
            <v>280</v>
          </cell>
          <cell r="V31">
            <v>280</v>
          </cell>
          <cell r="W31">
            <v>280</v>
          </cell>
          <cell r="X31">
            <v>280</v>
          </cell>
          <cell r="Y31">
            <v>0</v>
          </cell>
          <cell r="Z31">
            <v>0</v>
          </cell>
          <cell r="AA31">
            <v>280</v>
          </cell>
          <cell r="AB31">
            <v>280</v>
          </cell>
          <cell r="AC31">
            <v>280</v>
          </cell>
          <cell r="AD31">
            <v>280</v>
          </cell>
          <cell r="AE31">
            <v>140</v>
          </cell>
          <cell r="AF31">
            <v>0</v>
          </cell>
          <cell r="AG31">
            <v>0</v>
          </cell>
          <cell r="AH31">
            <v>1120</v>
          </cell>
          <cell r="AI31">
            <v>1260</v>
          </cell>
          <cell r="AJ31">
            <v>1260</v>
          </cell>
          <cell r="AK31">
            <v>1260</v>
          </cell>
          <cell r="AL31">
            <v>1260</v>
          </cell>
          <cell r="AM31">
            <v>980</v>
          </cell>
          <cell r="AN31">
            <v>1260</v>
          </cell>
          <cell r="AO31">
            <v>980</v>
          </cell>
          <cell r="AP31">
            <v>980</v>
          </cell>
          <cell r="AQ31">
            <v>980</v>
          </cell>
          <cell r="AR31">
            <v>980</v>
          </cell>
          <cell r="AS31">
            <v>980</v>
          </cell>
          <cell r="AT31">
            <v>1240</v>
          </cell>
          <cell r="AW31">
            <v>5100005155</v>
          </cell>
          <cell r="AX31" t="str">
            <v xml:space="preserve">FEDERAL-MOGUL POWERTRAIN- Qro </v>
          </cell>
          <cell r="AY31" t="str">
            <v xml:space="preserve">US </v>
          </cell>
          <cell r="AZ31">
            <v>9</v>
          </cell>
          <cell r="BB31" t="str">
            <v>AADTD</v>
          </cell>
          <cell r="BC31" t="str">
            <v>AADTD-06.08.2026-(21B3)-EPDC</v>
          </cell>
          <cell r="BE31">
            <v>3200</v>
          </cell>
          <cell r="BF31">
            <v>1121</v>
          </cell>
          <cell r="BG31">
            <v>0.6593</v>
          </cell>
          <cell r="BH31">
            <v>2500</v>
          </cell>
          <cell r="BI31">
            <v>2.2301516503122212</v>
          </cell>
          <cell r="BJ31">
            <v>1648.25</v>
          </cell>
          <cell r="BK31">
            <v>46194.380909901876</v>
          </cell>
          <cell r="BL31">
            <v>13.380909901873327</v>
          </cell>
          <cell r="BM31" t="str">
            <v>0</v>
          </cell>
          <cell r="BN31">
            <v>2500</v>
          </cell>
          <cell r="BO31">
            <v>2500</v>
          </cell>
          <cell r="BP31">
            <v>2220</v>
          </cell>
          <cell r="BQ31">
            <v>1940</v>
          </cell>
          <cell r="BR31">
            <v>1660</v>
          </cell>
          <cell r="BS31">
            <v>1380</v>
          </cell>
          <cell r="BT31">
            <v>1100</v>
          </cell>
          <cell r="BU31">
            <v>820</v>
          </cell>
          <cell r="BV31">
            <v>540</v>
          </cell>
          <cell r="BW31">
            <v>260</v>
          </cell>
          <cell r="BX31" t="str">
            <v>FC1B4F2S2D01</v>
          </cell>
          <cell r="BY31" t="str">
            <v>EA</v>
          </cell>
        </row>
        <row r="32">
          <cell r="C32" t="str">
            <v>SR0700101</v>
          </cell>
          <cell r="D32">
            <v>650</v>
          </cell>
          <cell r="E32" t="str">
            <v>STUD M8x1.25Px30L-M8x1.25x18L</v>
          </cell>
          <cell r="F32">
            <v>0</v>
          </cell>
          <cell r="G32">
            <v>0</v>
          </cell>
          <cell r="I32">
            <v>0</v>
          </cell>
          <cell r="M32">
            <v>792</v>
          </cell>
          <cell r="N32">
            <v>21208</v>
          </cell>
          <cell r="O32">
            <v>0</v>
          </cell>
          <cell r="Q32">
            <v>32500</v>
          </cell>
          <cell r="R32">
            <v>14950</v>
          </cell>
          <cell r="S32">
            <v>986</v>
          </cell>
          <cell r="T32">
            <v>990</v>
          </cell>
          <cell r="U32">
            <v>1450</v>
          </cell>
          <cell r="V32">
            <v>1486</v>
          </cell>
          <cell r="W32">
            <v>1486</v>
          </cell>
          <cell r="X32">
            <v>1486</v>
          </cell>
          <cell r="Y32">
            <v>0</v>
          </cell>
          <cell r="Z32">
            <v>0</v>
          </cell>
          <cell r="AA32">
            <v>1582</v>
          </cell>
          <cell r="AB32">
            <v>1582</v>
          </cell>
          <cell r="AC32">
            <v>1196</v>
          </cell>
          <cell r="AD32">
            <v>1428</v>
          </cell>
          <cell r="AE32">
            <v>1432</v>
          </cell>
          <cell r="AF32">
            <v>0</v>
          </cell>
          <cell r="AG32">
            <v>0</v>
          </cell>
          <cell r="AH32">
            <v>6898</v>
          </cell>
          <cell r="AI32">
            <v>7220</v>
          </cell>
          <cell r="AJ32">
            <v>7240</v>
          </cell>
          <cell r="AK32">
            <v>7336</v>
          </cell>
          <cell r="AL32">
            <v>6660</v>
          </cell>
          <cell r="AM32">
            <v>6958</v>
          </cell>
          <cell r="AN32">
            <v>7046</v>
          </cell>
          <cell r="AO32">
            <v>7272</v>
          </cell>
          <cell r="AP32">
            <v>6982</v>
          </cell>
          <cell r="AQ32">
            <v>6886</v>
          </cell>
          <cell r="AR32">
            <v>7272</v>
          </cell>
          <cell r="AS32">
            <v>6982</v>
          </cell>
          <cell r="AT32">
            <v>7730</v>
          </cell>
          <cell r="AW32">
            <v>5100001781</v>
          </cell>
          <cell r="AX32" t="str">
            <v>KAMAX INC.</v>
          </cell>
          <cell r="AY32" t="str">
            <v xml:space="preserve">US </v>
          </cell>
          <cell r="AZ32">
            <v>9</v>
          </cell>
          <cell r="BB32" t="str">
            <v>AADTD</v>
          </cell>
          <cell r="BC32" t="str">
            <v>AADTD-06.08.2026-(21B3)-EPDC</v>
          </cell>
          <cell r="BD32">
            <v>1250</v>
          </cell>
          <cell r="BE32">
            <v>22000</v>
          </cell>
          <cell r="BF32">
            <v>7070</v>
          </cell>
          <cell r="BG32">
            <v>0.17610000000000001</v>
          </cell>
          <cell r="BH32">
            <v>14950</v>
          </cell>
          <cell r="BI32">
            <v>2.1145685997171144</v>
          </cell>
          <cell r="BJ32">
            <v>2632.6950000000002</v>
          </cell>
          <cell r="BK32">
            <v>46193.687411598301</v>
          </cell>
          <cell r="BL32">
            <v>12.687411598302686</v>
          </cell>
          <cell r="BM32" t="str">
            <v>0</v>
          </cell>
          <cell r="BN32">
            <v>14950</v>
          </cell>
          <cell r="BO32">
            <v>13960</v>
          </cell>
          <cell r="BP32">
            <v>12510</v>
          </cell>
          <cell r="BQ32">
            <v>11024</v>
          </cell>
          <cell r="BR32">
            <v>9538</v>
          </cell>
          <cell r="BS32">
            <v>8052</v>
          </cell>
          <cell r="BT32">
            <v>6470</v>
          </cell>
          <cell r="BU32">
            <v>4888</v>
          </cell>
          <cell r="BV32">
            <v>3692</v>
          </cell>
          <cell r="BW32">
            <v>2264</v>
          </cell>
          <cell r="BX32" t="str">
            <v>SR0700101</v>
          </cell>
          <cell r="BY32" t="str">
            <v>EA</v>
          </cell>
        </row>
        <row r="33">
          <cell r="C33" t="str">
            <v>FC1Z0F2S9H01</v>
          </cell>
          <cell r="D33">
            <v>50</v>
          </cell>
          <cell r="E33" t="str">
            <v>HOSE-A/C FORMED-BARRIER GALAXY 3/4 4868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960</v>
          </cell>
          <cell r="N33">
            <v>540</v>
          </cell>
          <cell r="O33">
            <v>0</v>
          </cell>
          <cell r="P33">
            <v>4510</v>
          </cell>
          <cell r="Q33">
            <v>450</v>
          </cell>
          <cell r="R33">
            <v>3500</v>
          </cell>
          <cell r="S33">
            <v>0</v>
          </cell>
          <cell r="T33">
            <v>0</v>
          </cell>
          <cell r="U33">
            <v>1050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1350</v>
          </cell>
          <cell r="AC33">
            <v>0</v>
          </cell>
          <cell r="AD33">
            <v>0</v>
          </cell>
          <cell r="AE33">
            <v>600</v>
          </cell>
          <cell r="AF33">
            <v>0</v>
          </cell>
          <cell r="AG33">
            <v>0</v>
          </cell>
          <cell r="AH33">
            <v>1050</v>
          </cell>
          <cell r="AI33">
            <v>1950</v>
          </cell>
          <cell r="AJ33">
            <v>900</v>
          </cell>
          <cell r="AK33">
            <v>600</v>
          </cell>
          <cell r="AL33">
            <v>1508</v>
          </cell>
          <cell r="AM33">
            <v>1950</v>
          </cell>
          <cell r="AN33">
            <v>1750</v>
          </cell>
          <cell r="AO33">
            <v>1050</v>
          </cell>
          <cell r="AP33">
            <v>1050</v>
          </cell>
          <cell r="AQ33">
            <v>1650</v>
          </cell>
          <cell r="AR33">
            <v>1800</v>
          </cell>
          <cell r="AS33">
            <v>1800</v>
          </cell>
          <cell r="AT33">
            <v>1550</v>
          </cell>
          <cell r="AW33">
            <v>5100005175</v>
          </cell>
          <cell r="AX33" t="str">
            <v>CONTITECH NORTH AMERICA,</v>
          </cell>
          <cell r="AY33" t="str">
            <v xml:space="preserve">US </v>
          </cell>
          <cell r="AZ33">
            <v>9</v>
          </cell>
          <cell r="BB33" t="str">
            <v>AADTD</v>
          </cell>
          <cell r="BC33" t="str">
            <v>AADTD-06.08.2026-(21B3)-EPDC</v>
          </cell>
          <cell r="BE33">
            <v>1500</v>
          </cell>
          <cell r="BF33">
            <v>1387.090909090909</v>
          </cell>
          <cell r="BG33">
            <v>3.5289999999999999</v>
          </cell>
          <cell r="BH33">
            <v>3500</v>
          </cell>
          <cell r="BI33">
            <v>2.5232664831563771</v>
          </cell>
          <cell r="BJ33">
            <v>12351.5</v>
          </cell>
          <cell r="BK33">
            <v>46196.139598898939</v>
          </cell>
          <cell r="BL33">
            <v>15.139598898938264</v>
          </cell>
          <cell r="BM33" t="str">
            <v>0</v>
          </cell>
          <cell r="BN33">
            <v>3500</v>
          </cell>
          <cell r="BO33">
            <v>3500</v>
          </cell>
          <cell r="BP33">
            <v>2450</v>
          </cell>
          <cell r="BQ33">
            <v>2450</v>
          </cell>
          <cell r="BR33">
            <v>2450</v>
          </cell>
          <cell r="BS33">
            <v>2450</v>
          </cell>
          <cell r="BT33">
            <v>2450</v>
          </cell>
          <cell r="BU33">
            <v>1100</v>
          </cell>
          <cell r="BV33">
            <v>1100</v>
          </cell>
          <cell r="BW33">
            <v>1100</v>
          </cell>
          <cell r="BX33" t="str">
            <v>FC1Z0F2S9H01</v>
          </cell>
          <cell r="BY33" t="str">
            <v>EA</v>
          </cell>
        </row>
        <row r="34">
          <cell r="C34" t="str">
            <v>YR3H-18K459-HAA</v>
          </cell>
          <cell r="D34">
            <v>610</v>
          </cell>
          <cell r="E34" t="str">
            <v>3/4in CONVOLUTED SLV TUB EPROTECTOR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1582.675</v>
          </cell>
          <cell r="N34">
            <v>317.32500000000005</v>
          </cell>
          <cell r="O34">
            <v>0</v>
          </cell>
          <cell r="P34">
            <v>2802675</v>
          </cell>
          <cell r="Q34">
            <v>0</v>
          </cell>
          <cell r="R34">
            <v>1220</v>
          </cell>
          <cell r="S34">
            <v>1.62</v>
          </cell>
          <cell r="T34">
            <v>0</v>
          </cell>
          <cell r="U34">
            <v>177.6</v>
          </cell>
          <cell r="V34">
            <v>22.2</v>
          </cell>
          <cell r="W34">
            <v>199.8</v>
          </cell>
          <cell r="X34">
            <v>45.57</v>
          </cell>
          <cell r="Y34">
            <v>0</v>
          </cell>
          <cell r="Z34">
            <v>0</v>
          </cell>
          <cell r="AA34">
            <v>66.599999999999994</v>
          </cell>
          <cell r="AB34">
            <v>133.19999999999999</v>
          </cell>
          <cell r="AC34">
            <v>69.7</v>
          </cell>
          <cell r="AD34">
            <v>178.71</v>
          </cell>
          <cell r="AE34">
            <v>23.37</v>
          </cell>
          <cell r="AF34">
            <v>0</v>
          </cell>
          <cell r="AG34">
            <v>0</v>
          </cell>
          <cell r="AH34">
            <v>445.17</v>
          </cell>
          <cell r="AI34">
            <v>471.58</v>
          </cell>
          <cell r="AJ34">
            <v>467.63</v>
          </cell>
          <cell r="AK34">
            <v>489.19499999999999</v>
          </cell>
          <cell r="AL34">
            <v>455.6</v>
          </cell>
          <cell r="AM34">
            <v>443.88</v>
          </cell>
          <cell r="AN34">
            <v>421.68</v>
          </cell>
          <cell r="AO34">
            <v>421.91</v>
          </cell>
          <cell r="AP34">
            <v>599.28</v>
          </cell>
          <cell r="AQ34">
            <v>405.53</v>
          </cell>
          <cell r="AR34">
            <v>421.68</v>
          </cell>
          <cell r="AS34">
            <v>532.55999999999995</v>
          </cell>
          <cell r="AT34">
            <v>748.42</v>
          </cell>
          <cell r="AW34">
            <v>5100002082</v>
          </cell>
          <cell r="AX34" t="str">
            <v>DELFINGEN US INC</v>
          </cell>
          <cell r="AY34" t="str">
            <v xml:space="preserve">US </v>
          </cell>
          <cell r="AZ34">
            <v>9</v>
          </cell>
          <cell r="BB34" t="str">
            <v>AADTD</v>
          </cell>
          <cell r="BC34" t="str">
            <v>AADTD-06.08.2026-(21B3)-EPDC</v>
          </cell>
          <cell r="BD34">
            <v>6750</v>
          </cell>
          <cell r="BE34">
            <v>1900</v>
          </cell>
          <cell r="BF34">
            <v>458.46681818181821</v>
          </cell>
          <cell r="BG34">
            <v>3.8999999999999999E-4</v>
          </cell>
          <cell r="BH34">
            <v>1220</v>
          </cell>
          <cell r="BI34">
            <v>2.6610431804819816</v>
          </cell>
          <cell r="BJ34">
            <v>475.8</v>
          </cell>
          <cell r="BK34">
            <v>46196.966259082888</v>
          </cell>
          <cell r="BL34">
            <v>15.96625908289189</v>
          </cell>
          <cell r="BM34">
            <v>0</v>
          </cell>
          <cell r="BN34">
            <v>1220</v>
          </cell>
          <cell r="BO34">
            <v>1220</v>
          </cell>
          <cell r="BP34">
            <v>1042.4000000000001</v>
          </cell>
          <cell r="BQ34">
            <v>1020.2</v>
          </cell>
          <cell r="BR34">
            <v>820.40000000000009</v>
          </cell>
          <cell r="BS34">
            <v>774.83</v>
          </cell>
          <cell r="BT34">
            <v>708.23</v>
          </cell>
          <cell r="BU34">
            <v>575.03</v>
          </cell>
          <cell r="BV34">
            <v>505.33</v>
          </cell>
          <cell r="BW34">
            <v>326.62</v>
          </cell>
          <cell r="BY34" t="str">
            <v>MM</v>
          </cell>
        </row>
        <row r="35">
          <cell r="C35" t="str">
            <v>FC2P0F2SBA02</v>
          </cell>
          <cell r="D35">
            <v>225</v>
          </cell>
          <cell r="E35" t="str">
            <v>QUICK CONN-HTR WATER</v>
          </cell>
          <cell r="F35">
            <v>-225</v>
          </cell>
          <cell r="G35">
            <v>0</v>
          </cell>
          <cell r="I35">
            <v>0</v>
          </cell>
          <cell r="M35">
            <v>7551</v>
          </cell>
          <cell r="N35">
            <v>8949</v>
          </cell>
          <cell r="O35">
            <v>0</v>
          </cell>
          <cell r="Q35">
            <v>11250</v>
          </cell>
          <cell r="R35">
            <v>17550</v>
          </cell>
          <cell r="S35">
            <v>0</v>
          </cell>
          <cell r="T35">
            <v>968</v>
          </cell>
          <cell r="U35">
            <v>1472</v>
          </cell>
          <cell r="V35">
            <v>1472</v>
          </cell>
          <cell r="W35">
            <v>1472</v>
          </cell>
          <cell r="X35">
            <v>1472</v>
          </cell>
          <cell r="Y35">
            <v>0</v>
          </cell>
          <cell r="Z35">
            <v>0</v>
          </cell>
          <cell r="AA35">
            <v>1472</v>
          </cell>
          <cell r="AB35">
            <v>1472</v>
          </cell>
          <cell r="AC35">
            <v>1472</v>
          </cell>
          <cell r="AD35">
            <v>1472</v>
          </cell>
          <cell r="AE35">
            <v>1472</v>
          </cell>
          <cell r="AF35">
            <v>0</v>
          </cell>
          <cell r="AG35">
            <v>0</v>
          </cell>
          <cell r="AH35">
            <v>6856</v>
          </cell>
          <cell r="AI35">
            <v>7360</v>
          </cell>
          <cell r="AJ35">
            <v>7360</v>
          </cell>
          <cell r="AK35">
            <v>7360</v>
          </cell>
          <cell r="AL35">
            <v>7360</v>
          </cell>
          <cell r="AM35">
            <v>7540</v>
          </cell>
          <cell r="AN35">
            <v>7540</v>
          </cell>
          <cell r="AO35">
            <v>7540</v>
          </cell>
          <cell r="AP35">
            <v>7540</v>
          </cell>
          <cell r="AQ35">
            <v>7540</v>
          </cell>
          <cell r="AR35">
            <v>7540</v>
          </cell>
          <cell r="AS35">
            <v>8144</v>
          </cell>
          <cell r="AT35">
            <v>10190</v>
          </cell>
          <cell r="AW35">
            <v>5100002193</v>
          </cell>
          <cell r="AX35" t="str">
            <v>NORMA GROUP CRAIG ASSEMB</v>
          </cell>
          <cell r="AY35" t="str">
            <v xml:space="preserve">US </v>
          </cell>
          <cell r="AZ35">
            <v>9</v>
          </cell>
          <cell r="BB35" t="str">
            <v>AADTD</v>
          </cell>
          <cell r="BC35" t="str">
            <v>AADTD-06.08.2026-(21B3)-EPDC</v>
          </cell>
          <cell r="BD35">
            <v>1250</v>
          </cell>
          <cell r="BE35">
            <v>16500</v>
          </cell>
          <cell r="BF35">
            <v>7412.363636363636</v>
          </cell>
          <cell r="BG35">
            <v>1.399</v>
          </cell>
          <cell r="BH35">
            <v>17325</v>
          </cell>
          <cell r="BI35">
            <v>2.3373111263736264</v>
          </cell>
          <cell r="BJ35">
            <v>24237.674999999999</v>
          </cell>
          <cell r="BK35">
            <v>46195.023866758245</v>
          </cell>
          <cell r="BL35">
            <v>14.023866758241759</v>
          </cell>
          <cell r="BM35" t="str">
            <v>0</v>
          </cell>
          <cell r="BN35">
            <v>17550</v>
          </cell>
          <cell r="BO35">
            <v>16582</v>
          </cell>
          <cell r="BP35">
            <v>15110</v>
          </cell>
          <cell r="BQ35">
            <v>13638</v>
          </cell>
          <cell r="BR35">
            <v>12166</v>
          </cell>
          <cell r="BS35">
            <v>10694</v>
          </cell>
          <cell r="BT35">
            <v>9222</v>
          </cell>
          <cell r="BU35">
            <v>7750</v>
          </cell>
          <cell r="BV35">
            <v>6278</v>
          </cell>
          <cell r="BW35">
            <v>4806</v>
          </cell>
          <cell r="BX35" t="str">
            <v>FC2P0F2SBA02</v>
          </cell>
          <cell r="BY35" t="str">
            <v>EA</v>
          </cell>
        </row>
        <row r="36">
          <cell r="C36" t="str">
            <v>RMSA00034</v>
          </cell>
          <cell r="D36">
            <v>4500</v>
          </cell>
          <cell r="E36" t="str">
            <v>Sleeve - Abrasion ID19to6mm PE WT1mm</v>
          </cell>
          <cell r="F36">
            <v>0</v>
          </cell>
          <cell r="G36">
            <v>0</v>
          </cell>
          <cell r="I36">
            <v>0</v>
          </cell>
          <cell r="M36">
            <v>290.45499999999998</v>
          </cell>
          <cell r="N36">
            <v>6009.5450000000001</v>
          </cell>
          <cell r="O36">
            <v>0</v>
          </cell>
          <cell r="Q36">
            <v>1725</v>
          </cell>
          <cell r="R36">
            <v>5100</v>
          </cell>
          <cell r="S36">
            <v>0</v>
          </cell>
          <cell r="T36">
            <v>177.6</v>
          </cell>
          <cell r="U36">
            <v>314.52</v>
          </cell>
          <cell r="V36">
            <v>314.52</v>
          </cell>
          <cell r="W36">
            <v>314.52</v>
          </cell>
          <cell r="X36">
            <v>314.52</v>
          </cell>
          <cell r="Y36">
            <v>0</v>
          </cell>
          <cell r="Z36">
            <v>0</v>
          </cell>
          <cell r="AA36">
            <v>314.52</v>
          </cell>
          <cell r="AB36">
            <v>314.52</v>
          </cell>
          <cell r="AC36">
            <v>314.52</v>
          </cell>
          <cell r="AD36">
            <v>314.52</v>
          </cell>
          <cell r="AE36">
            <v>246.06</v>
          </cell>
          <cell r="AF36">
            <v>0</v>
          </cell>
          <cell r="AG36">
            <v>0</v>
          </cell>
          <cell r="AH36">
            <v>1435.68</v>
          </cell>
          <cell r="AI36">
            <v>1504.14</v>
          </cell>
          <cell r="AJ36">
            <v>1504.14</v>
          </cell>
          <cell r="AK36">
            <v>1504.14</v>
          </cell>
          <cell r="AL36">
            <v>1356.14</v>
          </cell>
          <cell r="AM36">
            <v>1219.22</v>
          </cell>
          <cell r="AN36">
            <v>1356.14</v>
          </cell>
          <cell r="AO36">
            <v>1219.22</v>
          </cell>
          <cell r="AP36">
            <v>1219.22</v>
          </cell>
          <cell r="AQ36">
            <v>1219.22</v>
          </cell>
          <cell r="AR36">
            <v>1219.22</v>
          </cell>
          <cell r="AS36">
            <v>1219.22</v>
          </cell>
          <cell r="AT36">
            <v>3595.86</v>
          </cell>
          <cell r="AW36">
            <v>5100001966</v>
          </cell>
          <cell r="AX36" t="str">
            <v>TE CONNECTIVITY</v>
          </cell>
          <cell r="AY36" t="str">
            <v xml:space="preserve">US </v>
          </cell>
          <cell r="AZ36">
            <v>9</v>
          </cell>
          <cell r="BB36" t="str">
            <v>AADTD</v>
          </cell>
          <cell r="BC36" t="str">
            <v>AADTD-06.08.2026-(21B3)-EPDC</v>
          </cell>
          <cell r="BD36">
            <v>18000</v>
          </cell>
          <cell r="BE36">
            <v>6300</v>
          </cell>
          <cell r="BF36">
            <v>1341.4981818181816</v>
          </cell>
          <cell r="BG36">
            <v>3.0699999999999998E-3</v>
          </cell>
          <cell r="BH36">
            <v>5100</v>
          </cell>
          <cell r="BI36">
            <v>3.8017196512989555</v>
          </cell>
          <cell r="BJ36">
            <v>15656.999999999998</v>
          </cell>
          <cell r="BK36">
            <v>46203.810317907795</v>
          </cell>
          <cell r="BL36">
            <v>22.810317907793731</v>
          </cell>
          <cell r="BM36">
            <v>900</v>
          </cell>
          <cell r="BN36">
            <v>5100</v>
          </cell>
          <cell r="BO36">
            <v>4922.3999999999996</v>
          </cell>
          <cell r="BP36">
            <v>4607.8799999999992</v>
          </cell>
          <cell r="BQ36">
            <v>4293.3599999999988</v>
          </cell>
          <cell r="BR36">
            <v>3978.8399999999988</v>
          </cell>
          <cell r="BS36">
            <v>3664.3199999999988</v>
          </cell>
          <cell r="BT36">
            <v>3349.7999999999988</v>
          </cell>
          <cell r="BU36">
            <v>3035.2799999999988</v>
          </cell>
          <cell r="BV36">
            <v>2720.7599999999989</v>
          </cell>
          <cell r="BW36">
            <v>2406.2399999999989</v>
          </cell>
          <cell r="BX36" t="str">
            <v>RMSA00034</v>
          </cell>
          <cell r="BY36" t="str">
            <v>MM</v>
          </cell>
        </row>
        <row r="37">
          <cell r="C37" t="str">
            <v>FC1C0F2SCD01</v>
          </cell>
          <cell r="D37">
            <v>125</v>
          </cell>
          <cell r="E37" t="str">
            <v>SLV NVH RUBBER NON SLT T7_D28_L0140</v>
          </cell>
          <cell r="F37">
            <v>0</v>
          </cell>
          <cell r="G37">
            <v>6625</v>
          </cell>
          <cell r="I37">
            <v>0</v>
          </cell>
          <cell r="M37">
            <v>60</v>
          </cell>
          <cell r="N37">
            <v>8440</v>
          </cell>
          <cell r="O37">
            <v>0</v>
          </cell>
          <cell r="Q37">
            <v>8000</v>
          </cell>
          <cell r="R37">
            <v>7625</v>
          </cell>
          <cell r="S37">
            <v>1056</v>
          </cell>
          <cell r="T37">
            <v>768</v>
          </cell>
          <cell r="U37">
            <v>896</v>
          </cell>
          <cell r="V37">
            <v>960</v>
          </cell>
          <cell r="W37">
            <v>992</v>
          </cell>
          <cell r="X37">
            <v>768</v>
          </cell>
          <cell r="Y37">
            <v>0</v>
          </cell>
          <cell r="Z37">
            <v>0</v>
          </cell>
          <cell r="AA37">
            <v>1152</v>
          </cell>
          <cell r="AB37">
            <v>896</v>
          </cell>
          <cell r="AC37">
            <v>640</v>
          </cell>
          <cell r="AD37">
            <v>1216</v>
          </cell>
          <cell r="AE37">
            <v>896</v>
          </cell>
          <cell r="AF37">
            <v>0</v>
          </cell>
          <cell r="AG37">
            <v>0</v>
          </cell>
          <cell r="AH37">
            <v>4384</v>
          </cell>
          <cell r="AI37">
            <v>4800</v>
          </cell>
          <cell r="AJ37">
            <v>4800</v>
          </cell>
          <cell r="AK37">
            <v>4336</v>
          </cell>
          <cell r="AL37">
            <v>4576</v>
          </cell>
          <cell r="AM37">
            <v>4464</v>
          </cell>
          <cell r="AN37">
            <v>4160</v>
          </cell>
          <cell r="AO37">
            <v>4864</v>
          </cell>
          <cell r="AP37">
            <v>6016</v>
          </cell>
          <cell r="AQ37">
            <v>5122</v>
          </cell>
          <cell r="AR37">
            <v>4736</v>
          </cell>
          <cell r="AS37">
            <v>4740</v>
          </cell>
          <cell r="AT37">
            <v>2825</v>
          </cell>
          <cell r="AW37">
            <v>5100005267</v>
          </cell>
          <cell r="AX37" t="str">
            <v>COLONIAL DPP LLC</v>
          </cell>
          <cell r="AY37" t="str">
            <v xml:space="preserve">US </v>
          </cell>
          <cell r="AZ37">
            <v>9</v>
          </cell>
          <cell r="BB37" t="str">
            <v>AADTD</v>
          </cell>
          <cell r="BC37" t="str">
            <v>AADTD-06.08.2026-(21B3)-JHUB</v>
          </cell>
          <cell r="BE37">
            <v>8500</v>
          </cell>
          <cell r="BF37">
            <v>4750.727272727273</v>
          </cell>
          <cell r="BG37">
            <v>0.72939999999999994</v>
          </cell>
          <cell r="BH37">
            <v>14250</v>
          </cell>
          <cell r="BI37">
            <v>2.9995407401737531</v>
          </cell>
          <cell r="BJ37">
            <v>10393.949999999999</v>
          </cell>
          <cell r="BK37">
            <v>46198.997244441045</v>
          </cell>
          <cell r="BL37">
            <v>17.997244441042518</v>
          </cell>
          <cell r="BM37" t="str">
            <v>0</v>
          </cell>
          <cell r="BN37">
            <v>7625</v>
          </cell>
          <cell r="BO37">
            <v>6857</v>
          </cell>
          <cell r="BP37">
            <v>5961</v>
          </cell>
          <cell r="BQ37">
            <v>5001</v>
          </cell>
          <cell r="BR37">
            <v>4009</v>
          </cell>
          <cell r="BS37">
            <v>3241</v>
          </cell>
          <cell r="BT37">
            <v>2089</v>
          </cell>
          <cell r="BU37">
            <v>1193</v>
          </cell>
          <cell r="BV37">
            <v>553</v>
          </cell>
          <cell r="BW37">
            <v>-663</v>
          </cell>
          <cell r="BX37" t="str">
            <v>FC1C0F2SCD01</v>
          </cell>
          <cell r="BY37" t="str">
            <v>EA</v>
          </cell>
        </row>
        <row r="38">
          <cell r="C38" t="str">
            <v>VPDG9H-19E778-AA</v>
          </cell>
          <cell r="D38">
            <v>2500</v>
          </cell>
          <cell r="E38" t="str">
            <v>SHIPPING CAP (BULK)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12626</v>
          </cell>
          <cell r="N38">
            <v>2374</v>
          </cell>
          <cell r="O38">
            <v>0</v>
          </cell>
          <cell r="P38">
            <v>15126</v>
          </cell>
          <cell r="Q38">
            <v>5000</v>
          </cell>
          <cell r="R38">
            <v>7481</v>
          </cell>
          <cell r="S38">
            <v>859</v>
          </cell>
          <cell r="T38">
            <v>330</v>
          </cell>
          <cell r="U38">
            <v>330</v>
          </cell>
          <cell r="V38">
            <v>330</v>
          </cell>
          <cell r="W38">
            <v>330</v>
          </cell>
          <cell r="X38">
            <v>468</v>
          </cell>
          <cell r="Y38">
            <v>0</v>
          </cell>
          <cell r="Z38">
            <v>0</v>
          </cell>
          <cell r="AA38">
            <v>330</v>
          </cell>
          <cell r="AB38">
            <v>330</v>
          </cell>
          <cell r="AC38">
            <v>412</v>
          </cell>
          <cell r="AD38">
            <v>420</v>
          </cell>
          <cell r="AE38">
            <v>468</v>
          </cell>
          <cell r="AF38">
            <v>0</v>
          </cell>
          <cell r="AG38">
            <v>0</v>
          </cell>
          <cell r="AH38">
            <v>1788</v>
          </cell>
          <cell r="AI38">
            <v>1960</v>
          </cell>
          <cell r="AJ38">
            <v>1815</v>
          </cell>
          <cell r="AK38">
            <v>1813</v>
          </cell>
          <cell r="AL38">
            <v>2000</v>
          </cell>
          <cell r="AM38">
            <v>1650</v>
          </cell>
          <cell r="AN38">
            <v>2220</v>
          </cell>
          <cell r="AO38">
            <v>1910</v>
          </cell>
          <cell r="AP38">
            <v>1682</v>
          </cell>
          <cell r="AQ38">
            <v>1779</v>
          </cell>
          <cell r="AR38">
            <v>1825</v>
          </cell>
          <cell r="AS38">
            <v>1903</v>
          </cell>
          <cell r="AT38">
            <v>5521</v>
          </cell>
          <cell r="AW38">
            <v>5100002097</v>
          </cell>
          <cell r="AX38" t="str">
            <v>POLYMER MOLDING INC</v>
          </cell>
          <cell r="AY38" t="str">
            <v xml:space="preserve">US </v>
          </cell>
          <cell r="AZ38">
            <v>9</v>
          </cell>
          <cell r="BB38" t="str">
            <v>AADTD</v>
          </cell>
          <cell r="BC38" t="str">
            <v>AADTD-06.08.2026-(21B3)-EPDC</v>
          </cell>
          <cell r="BE38">
            <v>15000</v>
          </cell>
          <cell r="BF38">
            <v>1858.3636363636363</v>
          </cell>
          <cell r="BG38">
            <v>1.06E-2</v>
          </cell>
          <cell r="BH38">
            <v>7481</v>
          </cell>
          <cell r="BI38">
            <v>4.0255845807650914</v>
          </cell>
          <cell r="BJ38">
            <v>79.298599999999993</v>
          </cell>
          <cell r="BK38">
            <v>46205.153507484589</v>
          </cell>
          <cell r="BL38">
            <v>24.153507484590548</v>
          </cell>
          <cell r="BM38" t="str">
            <v>0</v>
          </cell>
          <cell r="BN38">
            <v>7481</v>
          </cell>
          <cell r="BO38">
            <v>7151</v>
          </cell>
          <cell r="BP38">
            <v>6821</v>
          </cell>
          <cell r="BQ38">
            <v>6491</v>
          </cell>
          <cell r="BR38">
            <v>6161</v>
          </cell>
          <cell r="BS38">
            <v>5693</v>
          </cell>
          <cell r="BT38">
            <v>5363</v>
          </cell>
          <cell r="BU38">
            <v>5033</v>
          </cell>
          <cell r="BV38">
            <v>4621</v>
          </cell>
          <cell r="BW38">
            <v>4201</v>
          </cell>
          <cell r="BY38" t="str">
            <v>EA</v>
          </cell>
        </row>
        <row r="39">
          <cell r="C39" t="str">
            <v>FC2P0F2SAA03</v>
          </cell>
          <cell r="D39">
            <v>225</v>
          </cell>
          <cell r="E39" t="str">
            <v>QUICK CONN-HTR WATER</v>
          </cell>
          <cell r="F39">
            <v>0</v>
          </cell>
          <cell r="G39">
            <v>0</v>
          </cell>
          <cell r="I39">
            <v>0</v>
          </cell>
          <cell r="M39">
            <v>4137</v>
          </cell>
          <cell r="N39">
            <v>9463</v>
          </cell>
          <cell r="O39">
            <v>0</v>
          </cell>
          <cell r="Q39">
            <v>9675</v>
          </cell>
          <cell r="R39">
            <v>18225</v>
          </cell>
          <cell r="S39">
            <v>0</v>
          </cell>
          <cell r="T39">
            <v>968</v>
          </cell>
          <cell r="U39">
            <v>1472</v>
          </cell>
          <cell r="V39">
            <v>1472</v>
          </cell>
          <cell r="W39">
            <v>1472</v>
          </cell>
          <cell r="X39">
            <v>1472</v>
          </cell>
          <cell r="Y39">
            <v>0</v>
          </cell>
          <cell r="Z39">
            <v>0</v>
          </cell>
          <cell r="AA39">
            <v>1472</v>
          </cell>
          <cell r="AB39">
            <v>1472</v>
          </cell>
          <cell r="AC39">
            <v>1472</v>
          </cell>
          <cell r="AD39">
            <v>1472</v>
          </cell>
          <cell r="AE39">
            <v>1472</v>
          </cell>
          <cell r="AF39">
            <v>0</v>
          </cell>
          <cell r="AG39">
            <v>0</v>
          </cell>
          <cell r="AH39">
            <v>6856</v>
          </cell>
          <cell r="AI39">
            <v>7360</v>
          </cell>
          <cell r="AJ39">
            <v>7360</v>
          </cell>
          <cell r="AK39">
            <v>7360</v>
          </cell>
          <cell r="AL39">
            <v>7360</v>
          </cell>
          <cell r="AM39">
            <v>7540</v>
          </cell>
          <cell r="AN39">
            <v>7540</v>
          </cell>
          <cell r="AO39">
            <v>7540</v>
          </cell>
          <cell r="AP39">
            <v>7540</v>
          </cell>
          <cell r="AQ39">
            <v>7540</v>
          </cell>
          <cell r="AR39">
            <v>7540</v>
          </cell>
          <cell r="AS39">
            <v>8144</v>
          </cell>
          <cell r="AT39">
            <v>10865</v>
          </cell>
          <cell r="AW39">
            <v>5100002193</v>
          </cell>
          <cell r="AX39" t="str">
            <v>NORMA GROUP CRAIG ASSEMB</v>
          </cell>
          <cell r="AY39" t="str">
            <v xml:space="preserve">US </v>
          </cell>
          <cell r="AZ39">
            <v>9</v>
          </cell>
          <cell r="BB39" t="str">
            <v>AADTD</v>
          </cell>
          <cell r="BC39" t="str">
            <v>AADTD-06.08.2026-(21B3)-EPDC</v>
          </cell>
          <cell r="BD39">
            <v>1250</v>
          </cell>
          <cell r="BE39">
            <v>13600</v>
          </cell>
          <cell r="BF39">
            <v>7412.363636363636</v>
          </cell>
          <cell r="BG39">
            <v>1.409</v>
          </cell>
          <cell r="BH39">
            <v>18225</v>
          </cell>
          <cell r="BI39">
            <v>2.4587298861852434</v>
          </cell>
          <cell r="BJ39">
            <v>25679.025000000001</v>
          </cell>
          <cell r="BK39">
            <v>46195.752379317113</v>
          </cell>
          <cell r="BL39">
            <v>14.75237931711146</v>
          </cell>
          <cell r="BM39" t="str">
            <v>0</v>
          </cell>
          <cell r="BN39">
            <v>18225</v>
          </cell>
          <cell r="BO39">
            <v>17257</v>
          </cell>
          <cell r="BP39">
            <v>15785</v>
          </cell>
          <cell r="BQ39">
            <v>14313</v>
          </cell>
          <cell r="BR39">
            <v>12841</v>
          </cell>
          <cell r="BS39">
            <v>11369</v>
          </cell>
          <cell r="BT39">
            <v>9897</v>
          </cell>
          <cell r="BU39">
            <v>8425</v>
          </cell>
          <cell r="BV39">
            <v>6953</v>
          </cell>
          <cell r="BW39">
            <v>5481</v>
          </cell>
          <cell r="BX39" t="str">
            <v>FC2P0F2SAA03</v>
          </cell>
          <cell r="BY39" t="str">
            <v>EA</v>
          </cell>
        </row>
        <row r="40">
          <cell r="C40" t="str">
            <v>FC1B6F2SAB01</v>
          </cell>
          <cell r="D40">
            <v>350</v>
          </cell>
          <cell r="E40" t="str">
            <v>SLV HT SLIT REFLECT TUBE D13_T1.91_L0210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-23</v>
          </cell>
          <cell r="N40">
            <v>3023</v>
          </cell>
          <cell r="O40">
            <v>0</v>
          </cell>
          <cell r="P40">
            <v>1377</v>
          </cell>
          <cell r="Q40">
            <v>3150</v>
          </cell>
          <cell r="R40">
            <v>3500</v>
          </cell>
          <cell r="S40">
            <v>280</v>
          </cell>
          <cell r="T40">
            <v>280</v>
          </cell>
          <cell r="U40">
            <v>280</v>
          </cell>
          <cell r="V40">
            <v>280</v>
          </cell>
          <cell r="W40">
            <v>280</v>
          </cell>
          <cell r="X40">
            <v>280</v>
          </cell>
          <cell r="Y40">
            <v>0</v>
          </cell>
          <cell r="Z40">
            <v>0</v>
          </cell>
          <cell r="AA40">
            <v>0</v>
          </cell>
          <cell r="AB40">
            <v>560</v>
          </cell>
          <cell r="AC40">
            <v>280</v>
          </cell>
          <cell r="AD40">
            <v>0</v>
          </cell>
          <cell r="AE40">
            <v>280</v>
          </cell>
          <cell r="AF40">
            <v>0</v>
          </cell>
          <cell r="AG40">
            <v>0</v>
          </cell>
          <cell r="AH40">
            <v>1400</v>
          </cell>
          <cell r="AI40">
            <v>1120</v>
          </cell>
          <cell r="AJ40">
            <v>1167</v>
          </cell>
          <cell r="AK40">
            <v>1400</v>
          </cell>
          <cell r="AL40">
            <v>1400</v>
          </cell>
          <cell r="AM40">
            <v>1400</v>
          </cell>
          <cell r="AN40">
            <v>1680</v>
          </cell>
          <cell r="AO40">
            <v>1135</v>
          </cell>
          <cell r="AP40">
            <v>840</v>
          </cell>
          <cell r="AQ40">
            <v>1120</v>
          </cell>
          <cell r="AR40">
            <v>1120</v>
          </cell>
          <cell r="AS40">
            <v>1120</v>
          </cell>
          <cell r="AT40">
            <v>2380</v>
          </cell>
          <cell r="AW40">
            <v>5100001898</v>
          </cell>
          <cell r="AX40" t="str">
            <v>FEDERAL-MOGUL POWERTRAIN</v>
          </cell>
          <cell r="AY40" t="str">
            <v xml:space="preserve">US </v>
          </cell>
          <cell r="AZ40">
            <v>9</v>
          </cell>
          <cell r="BB40" t="str">
            <v>AADTD</v>
          </cell>
          <cell r="BC40" t="str">
            <v>AADTD-06.08.2026-(21B3)-EPDC</v>
          </cell>
          <cell r="BD40">
            <v>6750</v>
          </cell>
          <cell r="BE40">
            <v>3000</v>
          </cell>
          <cell r="BF40">
            <v>1252.909090909091</v>
          </cell>
          <cell r="BG40">
            <v>0.85010000000000008</v>
          </cell>
          <cell r="BH40">
            <v>3500</v>
          </cell>
          <cell r="BI40">
            <v>2.7934987665070379</v>
          </cell>
          <cell r="BJ40">
            <v>2975.3500000000004</v>
          </cell>
          <cell r="BK40">
            <v>46197.76099259904</v>
          </cell>
          <cell r="BL40">
            <v>16.760992599042225</v>
          </cell>
          <cell r="BM40" t="str">
            <v>0</v>
          </cell>
          <cell r="BN40">
            <v>3500</v>
          </cell>
          <cell r="BO40">
            <v>3220</v>
          </cell>
          <cell r="BP40">
            <v>2940</v>
          </cell>
          <cell r="BQ40">
            <v>2660</v>
          </cell>
          <cell r="BR40">
            <v>2380</v>
          </cell>
          <cell r="BS40">
            <v>2100</v>
          </cell>
          <cell r="BT40">
            <v>2100</v>
          </cell>
          <cell r="BU40">
            <v>1540</v>
          </cell>
          <cell r="BV40">
            <v>1260</v>
          </cell>
          <cell r="BW40">
            <v>1260</v>
          </cell>
          <cell r="BY40" t="str">
            <v>EA</v>
          </cell>
        </row>
        <row r="41">
          <cell r="C41" t="str">
            <v>FC1B3F2S1V01</v>
          </cell>
          <cell r="D41">
            <v>500</v>
          </cell>
          <cell r="E41" t="str">
            <v>SLV HT FBRGLS FOIL REFLECTIVE PROTECTOR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289</v>
          </cell>
          <cell r="N41">
            <v>-229</v>
          </cell>
          <cell r="O41">
            <v>0</v>
          </cell>
          <cell r="P41">
            <v>689</v>
          </cell>
          <cell r="Q41">
            <v>0</v>
          </cell>
          <cell r="R41">
            <v>400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220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220</v>
          </cell>
          <cell r="AJ41">
            <v>0</v>
          </cell>
          <cell r="AK41">
            <v>2</v>
          </cell>
          <cell r="AL41">
            <v>384</v>
          </cell>
          <cell r="AM41">
            <v>192</v>
          </cell>
          <cell r="AN41">
            <v>192</v>
          </cell>
          <cell r="AO41">
            <v>0</v>
          </cell>
          <cell r="AP41">
            <v>192</v>
          </cell>
          <cell r="AQ41">
            <v>192</v>
          </cell>
          <cell r="AR41">
            <v>192</v>
          </cell>
          <cell r="AS41">
            <v>384</v>
          </cell>
          <cell r="AT41">
            <v>180</v>
          </cell>
          <cell r="AW41">
            <v>5100005155</v>
          </cell>
          <cell r="AX41" t="str">
            <v xml:space="preserve">FEDERAL-MOGUL POWERTRAIN- Qro </v>
          </cell>
          <cell r="AY41" t="str">
            <v xml:space="preserve">US </v>
          </cell>
          <cell r="AZ41">
            <v>9</v>
          </cell>
          <cell r="BB41" t="str">
            <v>AADTD</v>
          </cell>
          <cell r="BC41" t="str">
            <v>AADTD-06.08.2026-(21B3)-EPDC</v>
          </cell>
          <cell r="BE41">
            <v>60</v>
          </cell>
          <cell r="BF41">
            <v>142.36363636363637</v>
          </cell>
          <cell r="BG41">
            <v>0.95199999999999996</v>
          </cell>
          <cell r="BH41">
            <v>400</v>
          </cell>
          <cell r="BI41">
            <v>2.8097062579821199</v>
          </cell>
          <cell r="BJ41">
            <v>380.79999999999995</v>
          </cell>
          <cell r="BK41">
            <v>46197.858237547895</v>
          </cell>
          <cell r="BL41">
            <v>16.85823754789272</v>
          </cell>
          <cell r="BM41" t="str">
            <v>0</v>
          </cell>
          <cell r="BN41">
            <v>400</v>
          </cell>
          <cell r="BO41">
            <v>400</v>
          </cell>
          <cell r="BP41">
            <v>400</v>
          </cell>
          <cell r="BQ41">
            <v>400</v>
          </cell>
          <cell r="BR41">
            <v>400</v>
          </cell>
          <cell r="BS41">
            <v>400</v>
          </cell>
          <cell r="BT41">
            <v>400</v>
          </cell>
          <cell r="BU41">
            <v>400</v>
          </cell>
          <cell r="BV41">
            <v>180</v>
          </cell>
          <cell r="BW41">
            <v>180</v>
          </cell>
          <cell r="BY41" t="str">
            <v>EA</v>
          </cell>
        </row>
        <row r="42">
          <cell r="C42" t="str">
            <v>VP9ASH-19E889-DA</v>
          </cell>
          <cell r="D42">
            <v>2500</v>
          </cell>
          <cell r="E42" t="str">
            <v>O-RING HNBR 19X16.50X2.4 3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2739</v>
          </cell>
          <cell r="N42">
            <v>-239</v>
          </cell>
          <cell r="O42">
            <v>0</v>
          </cell>
          <cell r="P42">
            <v>5239</v>
          </cell>
          <cell r="Q42">
            <v>0</v>
          </cell>
          <cell r="R42">
            <v>2500</v>
          </cell>
          <cell r="S42">
            <v>0</v>
          </cell>
          <cell r="T42">
            <v>180</v>
          </cell>
          <cell r="U42">
            <v>180</v>
          </cell>
          <cell r="V42">
            <v>180</v>
          </cell>
          <cell r="W42">
            <v>180</v>
          </cell>
          <cell r="X42">
            <v>180</v>
          </cell>
          <cell r="Y42">
            <v>0</v>
          </cell>
          <cell r="Z42">
            <v>0</v>
          </cell>
          <cell r="AA42">
            <v>180</v>
          </cell>
          <cell r="AB42">
            <v>180</v>
          </cell>
          <cell r="AC42">
            <v>180</v>
          </cell>
          <cell r="AD42">
            <v>180</v>
          </cell>
          <cell r="AE42">
            <v>180</v>
          </cell>
          <cell r="AF42">
            <v>0</v>
          </cell>
          <cell r="AG42">
            <v>0</v>
          </cell>
          <cell r="AH42">
            <v>900</v>
          </cell>
          <cell r="AI42">
            <v>900</v>
          </cell>
          <cell r="AJ42">
            <v>900</v>
          </cell>
          <cell r="AK42">
            <v>900</v>
          </cell>
          <cell r="AL42">
            <v>850</v>
          </cell>
          <cell r="AM42">
            <v>850</v>
          </cell>
          <cell r="AN42">
            <v>850</v>
          </cell>
          <cell r="AO42">
            <v>850</v>
          </cell>
          <cell r="AP42">
            <v>850</v>
          </cell>
          <cell r="AQ42">
            <v>850</v>
          </cell>
          <cell r="AR42">
            <v>850</v>
          </cell>
          <cell r="AS42">
            <v>850</v>
          </cell>
          <cell r="AT42">
            <v>1600</v>
          </cell>
          <cell r="AW42">
            <v>5100001755</v>
          </cell>
          <cell r="AX42" t="str">
            <v>PARKER HANNIFIN CORP</v>
          </cell>
          <cell r="AY42" t="str">
            <v xml:space="preserve">US </v>
          </cell>
          <cell r="AZ42">
            <v>9</v>
          </cell>
          <cell r="BB42" t="str">
            <v>AADTD</v>
          </cell>
          <cell r="BC42" t="str">
            <v>AADTD-06.08.2026-(21B3)-EPDC</v>
          </cell>
          <cell r="BE42">
            <v>2500</v>
          </cell>
          <cell r="BF42">
            <v>868.18181818181813</v>
          </cell>
          <cell r="BG42">
            <v>6.5599999999999992E-2</v>
          </cell>
          <cell r="BH42">
            <v>2500</v>
          </cell>
          <cell r="BI42">
            <v>2.8795811518324608</v>
          </cell>
          <cell r="BJ42">
            <v>163.99999999999997</v>
          </cell>
          <cell r="BK42">
            <v>46198.277486910993</v>
          </cell>
          <cell r="BL42">
            <v>17.277486910994764</v>
          </cell>
          <cell r="BM42" t="str">
            <v>0</v>
          </cell>
          <cell r="BN42">
            <v>2500</v>
          </cell>
          <cell r="BO42">
            <v>2320</v>
          </cell>
          <cell r="BP42">
            <v>2140</v>
          </cell>
          <cell r="BQ42">
            <v>1960</v>
          </cell>
          <cell r="BR42">
            <v>1780</v>
          </cell>
          <cell r="BS42">
            <v>1600</v>
          </cell>
          <cell r="BT42">
            <v>1420</v>
          </cell>
          <cell r="BU42">
            <v>1240</v>
          </cell>
          <cell r="BV42">
            <v>1060</v>
          </cell>
          <cell r="BW42">
            <v>880</v>
          </cell>
          <cell r="BX42" t="str">
            <v>VP9ASH-19E889-DA</v>
          </cell>
          <cell r="BY42" t="str">
            <v>EA</v>
          </cell>
        </row>
        <row r="43">
          <cell r="C43" t="str">
            <v>00297627-01-0000</v>
          </cell>
          <cell r="D43">
            <v>500</v>
          </cell>
          <cell r="E43" t="str">
            <v>GROMMET-A/C TUBE BRKT</v>
          </cell>
          <cell r="F43">
            <v>0</v>
          </cell>
          <cell r="G43">
            <v>18500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6133</v>
          </cell>
          <cell r="N43">
            <v>26867</v>
          </cell>
          <cell r="O43">
            <v>0</v>
          </cell>
          <cell r="P43">
            <v>50633</v>
          </cell>
          <cell r="Q43">
            <v>35500</v>
          </cell>
          <cell r="R43">
            <v>32000</v>
          </cell>
          <cell r="S43">
            <v>1094</v>
          </cell>
          <cell r="T43">
            <v>3002</v>
          </cell>
          <cell r="U43">
            <v>4172</v>
          </cell>
          <cell r="V43">
            <v>4462</v>
          </cell>
          <cell r="W43">
            <v>4462</v>
          </cell>
          <cell r="X43">
            <v>4462</v>
          </cell>
          <cell r="Y43">
            <v>0</v>
          </cell>
          <cell r="Z43">
            <v>0</v>
          </cell>
          <cell r="AA43">
            <v>4172</v>
          </cell>
          <cell r="AB43">
            <v>4172</v>
          </cell>
          <cell r="AC43">
            <v>3882</v>
          </cell>
          <cell r="AD43">
            <v>4114</v>
          </cell>
          <cell r="AE43">
            <v>4114</v>
          </cell>
          <cell r="AF43">
            <v>0</v>
          </cell>
          <cell r="AG43">
            <v>0</v>
          </cell>
          <cell r="AH43">
            <v>20560</v>
          </cell>
          <cell r="AI43">
            <v>20454</v>
          </cell>
          <cell r="AJ43">
            <v>20860</v>
          </cell>
          <cell r="AK43">
            <v>20570</v>
          </cell>
          <cell r="AL43">
            <v>18868</v>
          </cell>
          <cell r="AM43">
            <v>19110</v>
          </cell>
          <cell r="AN43">
            <v>19110</v>
          </cell>
          <cell r="AO43">
            <v>19110</v>
          </cell>
          <cell r="AP43">
            <v>19162</v>
          </cell>
          <cell r="AQ43">
            <v>18680</v>
          </cell>
          <cell r="AR43">
            <v>18970</v>
          </cell>
          <cell r="AS43">
            <v>18448</v>
          </cell>
          <cell r="AT43">
            <v>11546</v>
          </cell>
          <cell r="AW43">
            <v>5100001970</v>
          </cell>
          <cell r="AX43" t="str">
            <v>SINCLAIR &amp; RUSH, INC.</v>
          </cell>
          <cell r="AY43" t="str">
            <v xml:space="preserve">US </v>
          </cell>
          <cell r="AZ43">
            <v>9</v>
          </cell>
          <cell r="BB43" t="str">
            <v>AADTD</v>
          </cell>
          <cell r="BC43" t="str">
            <v>AADTD-06.08.2026-(21B3)-JHUB</v>
          </cell>
          <cell r="BE43">
            <v>33000</v>
          </cell>
          <cell r="BF43">
            <v>19586.727272727272</v>
          </cell>
          <cell r="BG43">
            <v>0.312</v>
          </cell>
          <cell r="BH43">
            <v>50500</v>
          </cell>
          <cell r="BI43">
            <v>2.5782765694765475</v>
          </cell>
          <cell r="BJ43">
            <v>15756</v>
          </cell>
          <cell r="BK43">
            <v>46196.469659416856</v>
          </cell>
          <cell r="BL43">
            <v>15.469659416859285</v>
          </cell>
          <cell r="BM43" t="str">
            <v>0</v>
          </cell>
          <cell r="BN43">
            <v>32000</v>
          </cell>
          <cell r="BO43">
            <v>28998</v>
          </cell>
          <cell r="BP43">
            <v>24826</v>
          </cell>
          <cell r="BQ43">
            <v>20364</v>
          </cell>
          <cell r="BR43">
            <v>15902</v>
          </cell>
          <cell r="BS43">
            <v>11440</v>
          </cell>
          <cell r="BT43">
            <v>7268</v>
          </cell>
          <cell r="BU43">
            <v>3096</v>
          </cell>
          <cell r="BV43">
            <v>-786</v>
          </cell>
          <cell r="BW43">
            <v>-4900</v>
          </cell>
          <cell r="BX43" t="str">
            <v>00297627-01-0000</v>
          </cell>
          <cell r="BY43" t="str">
            <v>EA</v>
          </cell>
        </row>
        <row r="44">
          <cell r="C44" t="str">
            <v>4L2H-19C708-EA</v>
          </cell>
          <cell r="D44">
            <v>1400</v>
          </cell>
          <cell r="E44" t="str">
            <v>Hose - A/C (Bulk)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2000</v>
          </cell>
          <cell r="K44">
            <v>1151.3308181818184</v>
          </cell>
          <cell r="L44">
            <v>3.7799999999999999E-3</v>
          </cell>
          <cell r="M44">
            <v>1018950</v>
          </cell>
          <cell r="N44">
            <v>2.4015686511080179</v>
          </cell>
          <cell r="O44">
            <v>0</v>
          </cell>
          <cell r="P44">
            <v>46195.40941190665</v>
          </cell>
          <cell r="Q44">
            <v>1819</v>
          </cell>
          <cell r="R44">
            <v>2765</v>
          </cell>
          <cell r="S44">
            <v>150.79400000000001</v>
          </cell>
          <cell r="T44">
            <v>0</v>
          </cell>
          <cell r="U44">
            <v>422.4</v>
          </cell>
          <cell r="V44">
            <v>52.8</v>
          </cell>
          <cell r="W44">
            <v>475.2</v>
          </cell>
          <cell r="X44">
            <v>128.816</v>
          </cell>
          <cell r="Y44">
            <v>0</v>
          </cell>
          <cell r="Z44">
            <v>0</v>
          </cell>
          <cell r="AA44">
            <v>158.4</v>
          </cell>
          <cell r="AB44">
            <v>316.8</v>
          </cell>
          <cell r="AC44">
            <v>105.6</v>
          </cell>
          <cell r="AD44">
            <v>468.45600000000002</v>
          </cell>
          <cell r="AE44">
            <v>119.432</v>
          </cell>
          <cell r="AF44">
            <v>0</v>
          </cell>
          <cell r="AG44">
            <v>0</v>
          </cell>
          <cell r="AH44">
            <v>1079.2159999999999</v>
          </cell>
          <cell r="AI44">
            <v>1168.6880000000001</v>
          </cell>
          <cell r="AJ44">
            <v>1160.8340000000001</v>
          </cell>
          <cell r="AK44">
            <v>1209.2339999999999</v>
          </cell>
          <cell r="AL44">
            <v>1145.9559999999999</v>
          </cell>
          <cell r="AM44">
            <v>1046.616</v>
          </cell>
          <cell r="AN44">
            <v>993.81600000000003</v>
          </cell>
          <cell r="AO44">
            <v>1200.2270000000001</v>
          </cell>
          <cell r="AP44">
            <v>1564.7360000000001</v>
          </cell>
          <cell r="AQ44">
            <v>1056.4939999999999</v>
          </cell>
          <cell r="AR44">
            <v>1038.8219999999999</v>
          </cell>
          <cell r="AS44">
            <v>1248.432</v>
          </cell>
          <cell r="AT44">
            <v>1596.3119999999999</v>
          </cell>
          <cell r="AW44">
            <v>5100005131</v>
          </cell>
          <cell r="AX44" t="str">
            <v>CONTITECH USA, INC.</v>
          </cell>
          <cell r="AY44" t="str">
            <v xml:space="preserve">US </v>
          </cell>
          <cell r="AZ44">
            <v>9</v>
          </cell>
          <cell r="BB44" t="str">
            <v>AADTD</v>
          </cell>
          <cell r="BC44" t="str">
            <v>AADTD-06.08.2026-(21B3)-EPDC</v>
          </cell>
          <cell r="BE44">
            <v>2000</v>
          </cell>
          <cell r="BF44">
            <v>1151.3308181818184</v>
          </cell>
          <cell r="BG44">
            <v>3.7799999999999999E-3</v>
          </cell>
          <cell r="BH44">
            <v>2765</v>
          </cell>
          <cell r="BI44">
            <v>2.4015686511080179</v>
          </cell>
          <cell r="BJ44">
            <v>10451.700000000001</v>
          </cell>
          <cell r="BK44">
            <v>46195.40941190665</v>
          </cell>
          <cell r="BL44">
            <v>14.409411906648106</v>
          </cell>
          <cell r="BM44">
            <v>0</v>
          </cell>
          <cell r="BN44">
            <v>2765</v>
          </cell>
          <cell r="BO44">
            <v>2765</v>
          </cell>
          <cell r="BP44">
            <v>2342.6</v>
          </cell>
          <cell r="BQ44">
            <v>2289.7999999999997</v>
          </cell>
          <cell r="BR44">
            <v>1814.5999999999997</v>
          </cell>
          <cell r="BS44">
            <v>1685.7839999999997</v>
          </cell>
          <cell r="BT44">
            <v>1527.3839999999996</v>
          </cell>
          <cell r="BU44">
            <v>1210.5839999999996</v>
          </cell>
          <cell r="BV44">
            <v>1104.9839999999997</v>
          </cell>
          <cell r="BW44">
            <v>636.52799999999968</v>
          </cell>
          <cell r="BY44" t="str">
            <v>MM</v>
          </cell>
        </row>
        <row r="45">
          <cell r="C45" t="str">
            <v>6L2H-19E889-BBS300</v>
          </cell>
          <cell r="D45">
            <v>5000</v>
          </cell>
          <cell r="E45" t="str">
            <v>O-RING</v>
          </cell>
          <cell r="F45">
            <v>0</v>
          </cell>
          <cell r="G45">
            <v>0</v>
          </cell>
          <cell r="I45">
            <v>0</v>
          </cell>
          <cell r="M45">
            <v>4828</v>
          </cell>
          <cell r="N45">
            <v>112172</v>
          </cell>
          <cell r="O45">
            <v>0</v>
          </cell>
          <cell r="Q45">
            <v>61862</v>
          </cell>
          <cell r="R45">
            <v>166193</v>
          </cell>
          <cell r="S45">
            <v>2936</v>
          </cell>
          <cell r="T45">
            <v>3756</v>
          </cell>
          <cell r="U45">
            <v>5459</v>
          </cell>
          <cell r="V45">
            <v>4681</v>
          </cell>
          <cell r="W45">
            <v>5708</v>
          </cell>
          <cell r="X45">
            <v>4441</v>
          </cell>
          <cell r="Y45">
            <v>0</v>
          </cell>
          <cell r="Z45">
            <v>0</v>
          </cell>
          <cell r="AA45">
            <v>5160</v>
          </cell>
          <cell r="AB45">
            <v>5344</v>
          </cell>
          <cell r="AC45">
            <v>3863</v>
          </cell>
          <cell r="AD45">
            <v>6206</v>
          </cell>
          <cell r="AE45">
            <v>3898</v>
          </cell>
          <cell r="AF45">
            <v>0</v>
          </cell>
          <cell r="AG45">
            <v>0</v>
          </cell>
          <cell r="AH45">
            <v>24045</v>
          </cell>
          <cell r="AI45">
            <v>24471</v>
          </cell>
          <cell r="AJ45">
            <v>24781</v>
          </cell>
          <cell r="AK45">
            <v>24499</v>
          </cell>
          <cell r="AL45">
            <v>25814</v>
          </cell>
          <cell r="AM45">
            <v>25136</v>
          </cell>
          <cell r="AN45">
            <v>25021</v>
          </cell>
          <cell r="AO45">
            <v>26190</v>
          </cell>
          <cell r="AP45">
            <v>29142</v>
          </cell>
          <cell r="AQ45">
            <v>26532</v>
          </cell>
          <cell r="AR45">
            <v>26029</v>
          </cell>
          <cell r="AS45">
            <v>26358</v>
          </cell>
          <cell r="AT45">
            <v>141722</v>
          </cell>
          <cell r="AW45">
            <v>5100001749</v>
          </cell>
          <cell r="AX45" t="str">
            <v>TRELLEBORG SEALING SOLUT</v>
          </cell>
          <cell r="AY45" t="str">
            <v xml:space="preserve">US </v>
          </cell>
          <cell r="AZ45">
            <v>9</v>
          </cell>
          <cell r="BB45" t="str">
            <v>AADTD</v>
          </cell>
          <cell r="BC45" t="str">
            <v>AADTD-06.08.2026-(21B3)-EPDC</v>
          </cell>
          <cell r="BD45">
            <v>5000</v>
          </cell>
          <cell r="BE45">
            <v>117000</v>
          </cell>
          <cell r="BF45">
            <v>25605.454545454544</v>
          </cell>
          <cell r="BG45">
            <v>0.113</v>
          </cell>
          <cell r="BH45">
            <v>166193</v>
          </cell>
          <cell r="BI45">
            <v>6.490531136831641</v>
          </cell>
          <cell r="BJ45">
            <v>18779.809000000001</v>
          </cell>
          <cell r="BK45">
            <v>46219.943186820987</v>
          </cell>
          <cell r="BL45">
            <v>38.943186820989844</v>
          </cell>
          <cell r="BM45">
            <v>43431</v>
          </cell>
          <cell r="BN45">
            <v>166193</v>
          </cell>
          <cell r="BO45">
            <v>162437</v>
          </cell>
          <cell r="BP45">
            <v>156978</v>
          </cell>
          <cell r="BQ45">
            <v>152297</v>
          </cell>
          <cell r="BR45">
            <v>146589</v>
          </cell>
          <cell r="BS45">
            <v>142148</v>
          </cell>
          <cell r="BT45">
            <v>136988</v>
          </cell>
          <cell r="BU45">
            <v>131644</v>
          </cell>
          <cell r="BV45">
            <v>127781</v>
          </cell>
          <cell r="BW45">
            <v>121575</v>
          </cell>
          <cell r="BX45" t="str">
            <v>6L2H-19E889-BBS300</v>
          </cell>
          <cell r="BY45" t="str">
            <v>EA</v>
          </cell>
        </row>
        <row r="46">
          <cell r="C46" t="str">
            <v>FC2B1F2STE01</v>
          </cell>
          <cell r="D46">
            <v>100</v>
          </cell>
          <cell r="E46" t="str">
            <v>BRKT/CLIP-A/C LINE</v>
          </cell>
          <cell r="F46">
            <v>0</v>
          </cell>
          <cell r="G46">
            <v>2300</v>
          </cell>
          <cell r="I46">
            <v>0</v>
          </cell>
          <cell r="M46">
            <v>1163</v>
          </cell>
          <cell r="N46">
            <v>3837</v>
          </cell>
          <cell r="O46">
            <v>0</v>
          </cell>
          <cell r="Q46">
            <v>14400</v>
          </cell>
          <cell r="R46">
            <v>2800</v>
          </cell>
          <cell r="S46">
            <v>720</v>
          </cell>
          <cell r="T46">
            <v>144</v>
          </cell>
          <cell r="U46">
            <v>0</v>
          </cell>
          <cell r="V46">
            <v>1044</v>
          </cell>
          <cell r="W46">
            <v>0</v>
          </cell>
          <cell r="X46">
            <v>660</v>
          </cell>
          <cell r="Y46">
            <v>0</v>
          </cell>
          <cell r="Z46">
            <v>0</v>
          </cell>
          <cell r="AA46">
            <v>504</v>
          </cell>
          <cell r="AB46">
            <v>612</v>
          </cell>
          <cell r="AC46">
            <v>0</v>
          </cell>
          <cell r="AD46">
            <v>828</v>
          </cell>
          <cell r="AE46">
            <v>0</v>
          </cell>
          <cell r="AF46">
            <v>0</v>
          </cell>
          <cell r="AG46">
            <v>0</v>
          </cell>
          <cell r="AH46">
            <v>1848</v>
          </cell>
          <cell r="AI46">
            <v>1944</v>
          </cell>
          <cell r="AJ46">
            <v>2046</v>
          </cell>
          <cell r="AK46">
            <v>1938</v>
          </cell>
          <cell r="AL46">
            <v>1866</v>
          </cell>
          <cell r="AM46">
            <v>2004</v>
          </cell>
          <cell r="AN46">
            <v>2040</v>
          </cell>
          <cell r="AO46">
            <v>2184</v>
          </cell>
          <cell r="AP46">
            <v>2244</v>
          </cell>
          <cell r="AQ46">
            <v>1944</v>
          </cell>
          <cell r="AR46">
            <v>1944</v>
          </cell>
          <cell r="AS46">
            <v>1800</v>
          </cell>
          <cell r="AT46">
            <v>856</v>
          </cell>
          <cell r="AW46">
            <v>5100001774</v>
          </cell>
          <cell r="AX46" t="str">
            <v>PRECISE TOOL &amp; DIE LIMIT</v>
          </cell>
          <cell r="AY46" t="str">
            <v xml:space="preserve">CA </v>
          </cell>
          <cell r="AZ46">
            <v>11</v>
          </cell>
          <cell r="BB46" t="str">
            <v>AADTD</v>
          </cell>
          <cell r="BC46" t="str">
            <v>AADTD-06.08.2026-(21B3)-JHUB</v>
          </cell>
          <cell r="BE46">
            <v>5000</v>
          </cell>
          <cell r="BF46">
            <v>2000.1818181818182</v>
          </cell>
          <cell r="BG46">
            <v>0.6633</v>
          </cell>
          <cell r="BH46">
            <v>5100</v>
          </cell>
          <cell r="BI46">
            <v>2.5497682028906463</v>
          </cell>
          <cell r="BJ46">
            <v>3382.83</v>
          </cell>
          <cell r="BK46">
            <v>46196.298609217345</v>
          </cell>
          <cell r="BL46">
            <v>15.298609217343877</v>
          </cell>
          <cell r="BM46" t="str">
            <v>0</v>
          </cell>
          <cell r="BN46">
            <v>2800</v>
          </cell>
          <cell r="BO46">
            <v>2656</v>
          </cell>
          <cell r="BP46">
            <v>2656</v>
          </cell>
          <cell r="BQ46">
            <v>1612</v>
          </cell>
          <cell r="BR46">
            <v>1612</v>
          </cell>
          <cell r="BS46">
            <v>952</v>
          </cell>
          <cell r="BT46">
            <v>448</v>
          </cell>
          <cell r="BU46">
            <v>-164</v>
          </cell>
          <cell r="BV46">
            <v>-164</v>
          </cell>
          <cell r="BW46">
            <v>-992</v>
          </cell>
          <cell r="BX46" t="str">
            <v>FC2B1F2STE01</v>
          </cell>
          <cell r="BY46" t="str">
            <v>EA</v>
          </cell>
        </row>
        <row r="47">
          <cell r="C47" t="str">
            <v>FC1U0YTHAA01</v>
          </cell>
          <cell r="D47">
            <v>5000</v>
          </cell>
          <cell r="E47" t="str">
            <v>GSKT-A/C LINE SEAL'G</v>
          </cell>
          <cell r="F47">
            <v>0</v>
          </cell>
          <cell r="G47">
            <v>25000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24937</v>
          </cell>
          <cell r="N47">
            <v>63</v>
          </cell>
          <cell r="O47">
            <v>0</v>
          </cell>
          <cell r="P47">
            <v>78937</v>
          </cell>
          <cell r="Q47">
            <v>20000</v>
          </cell>
          <cell r="R47">
            <v>27000</v>
          </cell>
          <cell r="S47">
            <v>0</v>
          </cell>
          <cell r="T47">
            <v>3058</v>
          </cell>
          <cell r="U47">
            <v>4305</v>
          </cell>
          <cell r="V47">
            <v>4520</v>
          </cell>
          <cell r="W47">
            <v>4520</v>
          </cell>
          <cell r="X47">
            <v>4520</v>
          </cell>
          <cell r="Y47">
            <v>0</v>
          </cell>
          <cell r="Z47">
            <v>0</v>
          </cell>
          <cell r="AA47">
            <v>4228</v>
          </cell>
          <cell r="AB47">
            <v>4228</v>
          </cell>
          <cell r="AC47">
            <v>4228</v>
          </cell>
          <cell r="AD47">
            <v>4228</v>
          </cell>
          <cell r="AE47">
            <v>4228</v>
          </cell>
          <cell r="AF47">
            <v>0</v>
          </cell>
          <cell r="AG47">
            <v>0</v>
          </cell>
          <cell r="AH47">
            <v>20923</v>
          </cell>
          <cell r="AI47">
            <v>21140</v>
          </cell>
          <cell r="AJ47">
            <v>21432</v>
          </cell>
          <cell r="AK47">
            <v>21140</v>
          </cell>
          <cell r="AL47">
            <v>19970</v>
          </cell>
          <cell r="AM47">
            <v>19970</v>
          </cell>
          <cell r="AN47">
            <v>20062</v>
          </cell>
          <cell r="AO47">
            <v>19683</v>
          </cell>
          <cell r="AP47">
            <v>19992</v>
          </cell>
          <cell r="AQ47">
            <v>20225</v>
          </cell>
          <cell r="AR47">
            <v>19845</v>
          </cell>
          <cell r="AS47">
            <v>19699</v>
          </cell>
          <cell r="AT47">
            <v>5860</v>
          </cell>
          <cell r="AW47">
            <v>5100001846</v>
          </cell>
          <cell r="AX47" t="str">
            <v>PARKER HANNIFIN CORPORAT</v>
          </cell>
          <cell r="AY47" t="str">
            <v xml:space="preserve">US </v>
          </cell>
          <cell r="AZ47">
            <v>9</v>
          </cell>
          <cell r="BB47" t="str">
            <v>AADTD</v>
          </cell>
          <cell r="BC47" t="str">
            <v>AADTD-06.08.2026-(21B3)-JHUB</v>
          </cell>
          <cell r="BD47">
            <v>6750</v>
          </cell>
          <cell r="BE47">
            <v>25000</v>
          </cell>
          <cell r="BF47">
            <v>20398.363636363636</v>
          </cell>
          <cell r="BG47">
            <v>0.19059999999999999</v>
          </cell>
          <cell r="BH47">
            <v>52000</v>
          </cell>
          <cell r="BI47">
            <v>2.5492240910589978</v>
          </cell>
          <cell r="BJ47">
            <v>9911.1999999999989</v>
          </cell>
          <cell r="BK47">
            <v>46196.295344546357</v>
          </cell>
          <cell r="BL47">
            <v>15.295344546353988</v>
          </cell>
          <cell r="BM47" t="str">
            <v>0</v>
          </cell>
          <cell r="BN47">
            <v>27000</v>
          </cell>
          <cell r="BO47">
            <v>23942</v>
          </cell>
          <cell r="BP47">
            <v>19637</v>
          </cell>
          <cell r="BQ47">
            <v>15117</v>
          </cell>
          <cell r="BR47">
            <v>10597</v>
          </cell>
          <cell r="BS47">
            <v>6077</v>
          </cell>
          <cell r="BT47">
            <v>1849</v>
          </cell>
          <cell r="BU47">
            <v>-2379</v>
          </cell>
          <cell r="BV47">
            <v>-6607</v>
          </cell>
          <cell r="BW47">
            <v>-10835</v>
          </cell>
          <cell r="BY47" t="str">
            <v>EA</v>
          </cell>
        </row>
        <row r="48">
          <cell r="C48" t="str">
            <v>FC1Z0F2S7S02</v>
          </cell>
          <cell r="D48">
            <v>100</v>
          </cell>
          <cell r="E48" t="str">
            <v>HOSE-A/C FORMED-BARRIER GALAXY 13/32 489</v>
          </cell>
          <cell r="F48">
            <v>0</v>
          </cell>
          <cell r="G48">
            <v>1000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702</v>
          </cell>
          <cell r="N48">
            <v>1298</v>
          </cell>
          <cell r="O48">
            <v>0</v>
          </cell>
          <cell r="P48">
            <v>5402</v>
          </cell>
          <cell r="Q48">
            <v>1100</v>
          </cell>
          <cell r="R48">
            <v>4800</v>
          </cell>
          <cell r="S48">
            <v>0</v>
          </cell>
          <cell r="T48">
            <v>0</v>
          </cell>
          <cell r="U48">
            <v>858</v>
          </cell>
          <cell r="V48">
            <v>780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1014</v>
          </cell>
          <cell r="AC48">
            <v>0</v>
          </cell>
          <cell r="AD48">
            <v>780</v>
          </cell>
          <cell r="AE48">
            <v>0</v>
          </cell>
          <cell r="AF48">
            <v>0</v>
          </cell>
          <cell r="AG48">
            <v>0</v>
          </cell>
          <cell r="AH48">
            <v>1638</v>
          </cell>
          <cell r="AI48">
            <v>1794</v>
          </cell>
          <cell r="AJ48">
            <v>1014</v>
          </cell>
          <cell r="AK48">
            <v>1794</v>
          </cell>
          <cell r="AL48">
            <v>1014</v>
          </cell>
          <cell r="AM48">
            <v>1014</v>
          </cell>
          <cell r="AN48">
            <v>1797</v>
          </cell>
          <cell r="AO48">
            <v>1794</v>
          </cell>
          <cell r="AP48">
            <v>1014</v>
          </cell>
          <cell r="AQ48">
            <v>1014</v>
          </cell>
          <cell r="AR48">
            <v>1248</v>
          </cell>
          <cell r="AS48">
            <v>1170</v>
          </cell>
          <cell r="AT48">
            <v>3006</v>
          </cell>
          <cell r="AW48">
            <v>5100005175</v>
          </cell>
          <cell r="AX48" t="str">
            <v>CONTITECH NORTH AMERICA,</v>
          </cell>
          <cell r="AY48" t="str">
            <v xml:space="preserve">US </v>
          </cell>
          <cell r="AZ48">
            <v>9</v>
          </cell>
          <cell r="BB48" t="str">
            <v>AADTD</v>
          </cell>
          <cell r="BC48" t="str">
            <v>AADTD-06.08.2026-(21B3)-JHUB</v>
          </cell>
          <cell r="BE48">
            <v>2000</v>
          </cell>
          <cell r="BF48">
            <v>1375.909090909091</v>
          </cell>
          <cell r="BG48">
            <v>2.88</v>
          </cell>
          <cell r="BH48">
            <v>5800</v>
          </cell>
          <cell r="BI48">
            <v>4.2153947803105378</v>
          </cell>
          <cell r="BJ48">
            <v>16704</v>
          </cell>
          <cell r="BK48">
            <v>46206.292368681861</v>
          </cell>
          <cell r="BL48">
            <v>25.292368681863227</v>
          </cell>
          <cell r="BM48">
            <v>800</v>
          </cell>
          <cell r="BN48">
            <v>4800</v>
          </cell>
          <cell r="BO48">
            <v>4800</v>
          </cell>
          <cell r="BP48">
            <v>3942</v>
          </cell>
          <cell r="BQ48">
            <v>3162</v>
          </cell>
          <cell r="BR48">
            <v>3162</v>
          </cell>
          <cell r="BS48">
            <v>3162</v>
          </cell>
          <cell r="BT48">
            <v>3162</v>
          </cell>
          <cell r="BU48">
            <v>2148</v>
          </cell>
          <cell r="BV48">
            <v>2148</v>
          </cell>
          <cell r="BW48">
            <v>1368</v>
          </cell>
          <cell r="BX48" t="str">
            <v>FC1Z0F2S7S02</v>
          </cell>
          <cell r="BY48" t="str">
            <v>EA</v>
          </cell>
        </row>
        <row r="49">
          <cell r="C49" t="str">
            <v>VP9L3H-19A593-DA</v>
          </cell>
          <cell r="D49">
            <v>2500</v>
          </cell>
          <cell r="E49" t="str">
            <v>GASKET - A/C LINE SEALIN G</v>
          </cell>
          <cell r="F49">
            <v>0</v>
          </cell>
          <cell r="G49">
            <v>47500</v>
          </cell>
          <cell r="H49">
            <v>0</v>
          </cell>
          <cell r="I49">
            <v>500</v>
          </cell>
          <cell r="J49">
            <v>0</v>
          </cell>
          <cell r="K49">
            <v>0</v>
          </cell>
          <cell r="L49">
            <v>0</v>
          </cell>
          <cell r="M49">
            <v>55065</v>
          </cell>
          <cell r="N49">
            <v>24935</v>
          </cell>
          <cell r="O49">
            <v>0</v>
          </cell>
          <cell r="P49">
            <v>141865</v>
          </cell>
          <cell r="Q49">
            <v>60000</v>
          </cell>
          <cell r="R49">
            <v>40900</v>
          </cell>
          <cell r="S49">
            <v>3533</v>
          </cell>
          <cell r="T49">
            <v>4556</v>
          </cell>
          <cell r="U49">
            <v>7051</v>
          </cell>
          <cell r="V49">
            <v>6255</v>
          </cell>
          <cell r="W49">
            <v>7498</v>
          </cell>
          <cell r="X49">
            <v>5913</v>
          </cell>
          <cell r="Y49">
            <v>0</v>
          </cell>
          <cell r="Z49">
            <v>0</v>
          </cell>
          <cell r="AA49">
            <v>6554</v>
          </cell>
          <cell r="AB49">
            <v>7196</v>
          </cell>
          <cell r="AC49">
            <v>5715</v>
          </cell>
          <cell r="AD49">
            <v>7995</v>
          </cell>
          <cell r="AE49">
            <v>5370</v>
          </cell>
          <cell r="AF49">
            <v>0</v>
          </cell>
          <cell r="AG49">
            <v>0</v>
          </cell>
          <cell r="AH49">
            <v>31273</v>
          </cell>
          <cell r="AI49">
            <v>32830</v>
          </cell>
          <cell r="AJ49">
            <v>32555</v>
          </cell>
          <cell r="AK49">
            <v>31749</v>
          </cell>
          <cell r="AL49">
            <v>34551</v>
          </cell>
          <cell r="AM49">
            <v>32221</v>
          </cell>
          <cell r="AN49">
            <v>33532</v>
          </cell>
          <cell r="AO49">
            <v>34735</v>
          </cell>
          <cell r="AP49">
            <v>35554</v>
          </cell>
          <cell r="AQ49">
            <v>33588</v>
          </cell>
          <cell r="AR49">
            <v>34668</v>
          </cell>
          <cell r="AS49">
            <v>33590</v>
          </cell>
          <cell r="AT49">
            <v>8070</v>
          </cell>
          <cell r="AW49">
            <v>5100001846</v>
          </cell>
          <cell r="AX49" t="str">
            <v>PARKER HANNIFIN CORPORAT</v>
          </cell>
          <cell r="AY49" t="str">
            <v xml:space="preserve">US </v>
          </cell>
          <cell r="AZ49">
            <v>9</v>
          </cell>
          <cell r="BB49" t="str">
            <v>AADTD</v>
          </cell>
          <cell r="BC49" t="str">
            <v>AADTD-06.08.2026-(21B3)-JHUB</v>
          </cell>
          <cell r="BD49">
            <v>3960</v>
          </cell>
          <cell r="BE49">
            <v>80000</v>
          </cell>
          <cell r="BF49">
            <v>33386.909090909088</v>
          </cell>
          <cell r="BG49">
            <v>0.31680000000000003</v>
          </cell>
          <cell r="BH49">
            <v>88900</v>
          </cell>
          <cell r="BI49">
            <v>2.6627202823098877</v>
          </cell>
          <cell r="BJ49">
            <v>28163.520000000004</v>
          </cell>
          <cell r="BK49">
            <v>46196.976321693859</v>
          </cell>
          <cell r="BL49">
            <v>15.976321693859326</v>
          </cell>
          <cell r="BM49" t="str">
            <v>0</v>
          </cell>
          <cell r="BN49">
            <v>40900</v>
          </cell>
          <cell r="BO49">
            <v>36344</v>
          </cell>
          <cell r="BP49">
            <v>29293</v>
          </cell>
          <cell r="BQ49">
            <v>23038</v>
          </cell>
          <cell r="BR49">
            <v>15540</v>
          </cell>
          <cell r="BS49">
            <v>9627</v>
          </cell>
          <cell r="BT49">
            <v>3073</v>
          </cell>
          <cell r="BU49">
            <v>-4123</v>
          </cell>
          <cell r="BV49">
            <v>-9838</v>
          </cell>
          <cell r="BW49">
            <v>-17833</v>
          </cell>
          <cell r="BX49" t="str">
            <v>VP9L3H-19A593-DA</v>
          </cell>
          <cell r="BY49" t="str">
            <v>EA</v>
          </cell>
        </row>
        <row r="50">
          <cell r="C50" t="str">
            <v>FC1B4F2S2E01</v>
          </cell>
          <cell r="D50">
            <v>500</v>
          </cell>
          <cell r="E50" t="str">
            <v>SLV HT ALU SELF WRAP SLV HT ALU SELF WRA</v>
          </cell>
          <cell r="F50">
            <v>0</v>
          </cell>
          <cell r="G50">
            <v>1500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-131</v>
          </cell>
          <cell r="N50">
            <v>2131</v>
          </cell>
          <cell r="O50">
            <v>0</v>
          </cell>
          <cell r="P50">
            <v>3869</v>
          </cell>
          <cell r="Q50">
            <v>500</v>
          </cell>
          <cell r="R50">
            <v>3000</v>
          </cell>
          <cell r="S50">
            <v>0</v>
          </cell>
          <cell r="T50">
            <v>0</v>
          </cell>
          <cell r="U50">
            <v>280</v>
          </cell>
          <cell r="V50">
            <v>280</v>
          </cell>
          <cell r="W50">
            <v>280</v>
          </cell>
          <cell r="X50">
            <v>280</v>
          </cell>
          <cell r="Y50">
            <v>0</v>
          </cell>
          <cell r="Z50">
            <v>0</v>
          </cell>
          <cell r="AA50">
            <v>280</v>
          </cell>
          <cell r="AB50">
            <v>280</v>
          </cell>
          <cell r="AC50">
            <v>280</v>
          </cell>
          <cell r="AD50">
            <v>280</v>
          </cell>
          <cell r="AE50">
            <v>140</v>
          </cell>
          <cell r="AF50">
            <v>0</v>
          </cell>
          <cell r="AG50">
            <v>0</v>
          </cell>
          <cell r="AH50">
            <v>1120</v>
          </cell>
          <cell r="AI50">
            <v>1260</v>
          </cell>
          <cell r="AJ50">
            <v>1260</v>
          </cell>
          <cell r="AK50">
            <v>1260</v>
          </cell>
          <cell r="AL50">
            <v>1260</v>
          </cell>
          <cell r="AM50">
            <v>980</v>
          </cell>
          <cell r="AN50">
            <v>1260</v>
          </cell>
          <cell r="AO50">
            <v>980</v>
          </cell>
          <cell r="AP50">
            <v>980</v>
          </cell>
          <cell r="AQ50">
            <v>980</v>
          </cell>
          <cell r="AR50">
            <v>980</v>
          </cell>
          <cell r="AS50">
            <v>980</v>
          </cell>
          <cell r="AT50">
            <v>1740</v>
          </cell>
          <cell r="AW50">
            <v>5100005155</v>
          </cell>
          <cell r="AX50" t="str">
            <v xml:space="preserve">FEDERAL-MOGUL POWERTRAIN- Qro </v>
          </cell>
          <cell r="AY50" t="str">
            <v xml:space="preserve">US </v>
          </cell>
          <cell r="AZ50">
            <v>9</v>
          </cell>
          <cell r="BB50" t="str">
            <v>AADTD</v>
          </cell>
          <cell r="BC50" t="str">
            <v>AADTD-06.08.2026-(21B3)-JHUB</v>
          </cell>
          <cell r="BE50">
            <v>2000</v>
          </cell>
          <cell r="BF50">
            <v>1120</v>
          </cell>
          <cell r="BG50">
            <v>0.52229999999999999</v>
          </cell>
          <cell r="BH50">
            <v>4500</v>
          </cell>
          <cell r="BI50">
            <v>4.0178571428571432</v>
          </cell>
          <cell r="BJ50">
            <v>2350.35</v>
          </cell>
          <cell r="BK50">
            <v>46205.107142857145</v>
          </cell>
          <cell r="BL50">
            <v>24.107142857142861</v>
          </cell>
          <cell r="BM50" t="str">
            <v>0</v>
          </cell>
          <cell r="BN50">
            <v>3000</v>
          </cell>
          <cell r="BO50">
            <v>3000</v>
          </cell>
          <cell r="BP50">
            <v>2720</v>
          </cell>
          <cell r="BQ50">
            <v>2440</v>
          </cell>
          <cell r="BR50">
            <v>2160</v>
          </cell>
          <cell r="BS50">
            <v>1880</v>
          </cell>
          <cell r="BT50">
            <v>1600</v>
          </cell>
          <cell r="BU50">
            <v>1320</v>
          </cell>
          <cell r="BV50">
            <v>1040</v>
          </cell>
          <cell r="BW50">
            <v>760</v>
          </cell>
          <cell r="BX50" t="str">
            <v>FC1B4F2S2E01</v>
          </cell>
          <cell r="BY50" t="str">
            <v>EA</v>
          </cell>
        </row>
        <row r="51">
          <cell r="C51" t="str">
            <v>FC1Z0G8V0A02</v>
          </cell>
          <cell r="D51">
            <v>100</v>
          </cell>
          <cell r="E51" t="str">
            <v>HOSE-A/C FORMED-BARRIER</v>
          </cell>
          <cell r="F51">
            <v>0</v>
          </cell>
          <cell r="G51">
            <v>100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93</v>
          </cell>
          <cell r="N51">
            <v>907</v>
          </cell>
          <cell r="O51">
            <v>0</v>
          </cell>
          <cell r="P51">
            <v>593</v>
          </cell>
          <cell r="Q51">
            <v>0</v>
          </cell>
          <cell r="R51">
            <v>400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96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96</v>
          </cell>
          <cell r="AJ51">
            <v>288</v>
          </cell>
          <cell r="AK51">
            <v>192</v>
          </cell>
          <cell r="AL51">
            <v>216</v>
          </cell>
          <cell r="AM51">
            <v>288</v>
          </cell>
          <cell r="AN51">
            <v>96</v>
          </cell>
          <cell r="AO51">
            <v>96</v>
          </cell>
          <cell r="AP51">
            <v>192</v>
          </cell>
          <cell r="AQ51">
            <v>192</v>
          </cell>
          <cell r="AR51">
            <v>96</v>
          </cell>
          <cell r="AS51">
            <v>96</v>
          </cell>
          <cell r="AT51">
            <v>304</v>
          </cell>
          <cell r="AW51">
            <v>5100005175</v>
          </cell>
          <cell r="AX51" t="str">
            <v>CONTITECH NORTH AMERICA,</v>
          </cell>
          <cell r="AY51" t="str">
            <v xml:space="preserve">US </v>
          </cell>
          <cell r="AZ51">
            <v>9</v>
          </cell>
          <cell r="BB51" t="str">
            <v>AADTD</v>
          </cell>
          <cell r="BC51" t="str">
            <v>AADTD-06.08.2026-(21B3)-JHUB</v>
          </cell>
          <cell r="BE51">
            <v>1000</v>
          </cell>
          <cell r="BF51">
            <v>159.27272727272728</v>
          </cell>
          <cell r="BG51">
            <v>2.5619999999999998</v>
          </cell>
          <cell r="BH51">
            <v>500</v>
          </cell>
          <cell r="BI51">
            <v>3.1392694063926938</v>
          </cell>
          <cell r="BJ51">
            <v>1281</v>
          </cell>
          <cell r="BK51">
            <v>46199.835616438359</v>
          </cell>
          <cell r="BL51">
            <v>18.835616438356162</v>
          </cell>
          <cell r="BM51" t="str">
            <v>0</v>
          </cell>
          <cell r="BN51">
            <v>400</v>
          </cell>
          <cell r="BO51">
            <v>400</v>
          </cell>
          <cell r="BP51">
            <v>400</v>
          </cell>
          <cell r="BQ51">
            <v>400</v>
          </cell>
          <cell r="BR51">
            <v>400</v>
          </cell>
          <cell r="BS51">
            <v>400</v>
          </cell>
          <cell r="BT51">
            <v>400</v>
          </cell>
          <cell r="BU51">
            <v>400</v>
          </cell>
          <cell r="BV51">
            <v>304</v>
          </cell>
          <cell r="BW51">
            <v>304</v>
          </cell>
          <cell r="BX51" t="str">
            <v>FC1Z0G8V0A02</v>
          </cell>
          <cell r="BY51" t="str">
            <v>EA</v>
          </cell>
        </row>
        <row r="52">
          <cell r="C52" t="str">
            <v>FC1Z0F2SAK01</v>
          </cell>
          <cell r="D52">
            <v>100</v>
          </cell>
          <cell r="E52" t="str">
            <v>HOSE-A/C FORMED-BARRIER-GALAXY 13/32" 4</v>
          </cell>
          <cell r="F52">
            <v>0</v>
          </cell>
          <cell r="G52">
            <v>0</v>
          </cell>
          <cell r="I52">
            <v>0</v>
          </cell>
          <cell r="M52">
            <v>-88</v>
          </cell>
          <cell r="N52">
            <v>1088</v>
          </cell>
          <cell r="O52">
            <v>0</v>
          </cell>
          <cell r="Q52">
            <v>200</v>
          </cell>
          <cell r="R52">
            <v>5800</v>
          </cell>
          <cell r="S52">
            <v>0</v>
          </cell>
          <cell r="T52">
            <v>288</v>
          </cell>
          <cell r="U52">
            <v>288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288</v>
          </cell>
          <cell r="AB52">
            <v>288</v>
          </cell>
          <cell r="AC52">
            <v>288</v>
          </cell>
          <cell r="AD52">
            <v>288</v>
          </cell>
          <cell r="AE52">
            <v>288</v>
          </cell>
          <cell r="AF52">
            <v>0</v>
          </cell>
          <cell r="AG52">
            <v>0</v>
          </cell>
          <cell r="AH52">
            <v>576</v>
          </cell>
          <cell r="AI52">
            <v>1440</v>
          </cell>
          <cell r="AJ52">
            <v>1152</v>
          </cell>
          <cell r="AK52">
            <v>1440</v>
          </cell>
          <cell r="AL52">
            <v>1440</v>
          </cell>
          <cell r="AM52">
            <v>1440</v>
          </cell>
          <cell r="AN52">
            <v>1440</v>
          </cell>
          <cell r="AO52">
            <v>1728</v>
          </cell>
          <cell r="AP52">
            <v>1440</v>
          </cell>
          <cell r="AQ52">
            <v>1440</v>
          </cell>
          <cell r="AR52">
            <v>1440</v>
          </cell>
          <cell r="AS52">
            <v>1728</v>
          </cell>
          <cell r="AT52">
            <v>4360</v>
          </cell>
          <cell r="AW52">
            <v>5100005175</v>
          </cell>
          <cell r="AX52" t="str">
            <v>CONTITECH NORTH AMERICA,</v>
          </cell>
          <cell r="AY52" t="str">
            <v xml:space="preserve">US </v>
          </cell>
          <cell r="AZ52">
            <v>9</v>
          </cell>
          <cell r="BB52" t="str">
            <v>AADTD</v>
          </cell>
          <cell r="BC52" t="str">
            <v>AADTD-06.08.2026-(21B3)-EPDC</v>
          </cell>
          <cell r="BE52">
            <v>1000</v>
          </cell>
          <cell r="BF52">
            <v>1361.4545454545455</v>
          </cell>
          <cell r="BG52">
            <v>2.11</v>
          </cell>
          <cell r="BH52">
            <v>5800</v>
          </cell>
          <cell r="BI52">
            <v>4.2601495726495724</v>
          </cell>
          <cell r="BJ52">
            <v>12238</v>
          </cell>
          <cell r="BK52">
            <v>46206.560897435898</v>
          </cell>
          <cell r="BL52">
            <v>25.560897435897434</v>
          </cell>
          <cell r="BM52">
            <v>600</v>
          </cell>
          <cell r="BN52">
            <v>5800</v>
          </cell>
          <cell r="BO52">
            <v>5512</v>
          </cell>
          <cell r="BP52">
            <v>5224</v>
          </cell>
          <cell r="BQ52">
            <v>5224</v>
          </cell>
          <cell r="BR52">
            <v>5224</v>
          </cell>
          <cell r="BS52">
            <v>5224</v>
          </cell>
          <cell r="BT52">
            <v>4936</v>
          </cell>
          <cell r="BU52">
            <v>4648</v>
          </cell>
          <cell r="BV52">
            <v>4360</v>
          </cell>
          <cell r="BW52">
            <v>4072</v>
          </cell>
          <cell r="BX52" t="str">
            <v>FC1Z0F2SAK01</v>
          </cell>
          <cell r="BY52" t="str">
            <v>EA</v>
          </cell>
        </row>
        <row r="53">
          <cell r="C53" t="str">
            <v>4644047-003</v>
          </cell>
          <cell r="D53">
            <v>4000</v>
          </cell>
          <cell r="E53" t="str">
            <v>CAP SHIPPING</v>
          </cell>
          <cell r="F53">
            <v>0</v>
          </cell>
          <cell r="G53">
            <v>0</v>
          </cell>
          <cell r="I53">
            <v>0</v>
          </cell>
          <cell r="M53">
            <v>14587</v>
          </cell>
          <cell r="N53">
            <v>19413</v>
          </cell>
          <cell r="O53">
            <v>10</v>
          </cell>
          <cell r="Q53">
            <v>8000</v>
          </cell>
          <cell r="R53">
            <v>14259</v>
          </cell>
          <cell r="S53">
            <v>509</v>
          </cell>
          <cell r="T53">
            <v>840</v>
          </cell>
          <cell r="U53">
            <v>1272</v>
          </cell>
          <cell r="V53">
            <v>840</v>
          </cell>
          <cell r="W53">
            <v>840</v>
          </cell>
          <cell r="X53">
            <v>934</v>
          </cell>
          <cell r="Y53">
            <v>0</v>
          </cell>
          <cell r="Z53">
            <v>0</v>
          </cell>
          <cell r="AA53">
            <v>984</v>
          </cell>
          <cell r="AB53">
            <v>840</v>
          </cell>
          <cell r="AC53">
            <v>1114</v>
          </cell>
          <cell r="AD53">
            <v>930</v>
          </cell>
          <cell r="AE53">
            <v>934</v>
          </cell>
          <cell r="AF53">
            <v>0</v>
          </cell>
          <cell r="AG53">
            <v>0</v>
          </cell>
          <cell r="AH53">
            <v>4726</v>
          </cell>
          <cell r="AI53">
            <v>4802</v>
          </cell>
          <cell r="AJ53">
            <v>4532</v>
          </cell>
          <cell r="AK53">
            <v>4799</v>
          </cell>
          <cell r="AL53">
            <v>4422</v>
          </cell>
          <cell r="AM53">
            <v>3504</v>
          </cell>
          <cell r="AN53">
            <v>3786</v>
          </cell>
          <cell r="AO53">
            <v>3729</v>
          </cell>
          <cell r="AP53">
            <v>3814</v>
          </cell>
          <cell r="AQ53">
            <v>3837</v>
          </cell>
          <cell r="AR53">
            <v>3661</v>
          </cell>
          <cell r="AS53">
            <v>3881</v>
          </cell>
          <cell r="AT53">
            <v>9457</v>
          </cell>
          <cell r="AW53">
            <v>5100001667</v>
          </cell>
          <cell r="AX53" t="str">
            <v>ESSENTRA PLASTICS,LLC DB</v>
          </cell>
          <cell r="AY53" t="str">
            <v xml:space="preserve">US </v>
          </cell>
          <cell r="AZ53">
            <v>9</v>
          </cell>
          <cell r="BB53" t="str">
            <v>AADTD</v>
          </cell>
          <cell r="BC53" t="str">
            <v>AADTD-06.08.2026-(21B3)-EPDC</v>
          </cell>
          <cell r="BD53">
            <v>1500</v>
          </cell>
          <cell r="BE53">
            <v>34000</v>
          </cell>
          <cell r="BF53">
            <v>4146.545454545455</v>
          </cell>
          <cell r="BG53">
            <v>9.9700000000000014E-3</v>
          </cell>
          <cell r="BH53">
            <v>14269</v>
          </cell>
          <cell r="BI53">
            <v>3.4411777602385332</v>
          </cell>
          <cell r="BJ53">
            <v>142.26193000000001</v>
          </cell>
          <cell r="BK53">
            <v>46201.647066561432</v>
          </cell>
          <cell r="BL53">
            <v>20.647066561431199</v>
          </cell>
          <cell r="BM53" t="str">
            <v>0</v>
          </cell>
          <cell r="BN53">
            <v>14259</v>
          </cell>
          <cell r="BO53">
            <v>13419</v>
          </cell>
          <cell r="BP53">
            <v>12147</v>
          </cell>
          <cell r="BQ53">
            <v>11307</v>
          </cell>
          <cell r="BR53">
            <v>10467</v>
          </cell>
          <cell r="BS53">
            <v>9533</v>
          </cell>
          <cell r="BT53">
            <v>8549</v>
          </cell>
          <cell r="BU53">
            <v>7709</v>
          </cell>
          <cell r="BV53">
            <v>6595</v>
          </cell>
          <cell r="BW53">
            <v>5665</v>
          </cell>
          <cell r="BX53" t="str">
            <v>4644047-003</v>
          </cell>
          <cell r="BY53" t="str">
            <v>EA</v>
          </cell>
        </row>
        <row r="54">
          <cell r="C54" t="str">
            <v>VPDG9H-19E778-DA</v>
          </cell>
          <cell r="D54">
            <v>2500</v>
          </cell>
          <cell r="E54" t="str">
            <v>SHIPPING CAP (BULK)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20468</v>
          </cell>
          <cell r="N54">
            <v>9532</v>
          </cell>
          <cell r="O54">
            <v>0</v>
          </cell>
          <cell r="P54">
            <v>37968</v>
          </cell>
          <cell r="Q54">
            <v>12500</v>
          </cell>
          <cell r="R54">
            <v>20000</v>
          </cell>
          <cell r="S54">
            <v>986</v>
          </cell>
          <cell r="T54">
            <v>1222</v>
          </cell>
          <cell r="U54">
            <v>1510</v>
          </cell>
          <cell r="V54">
            <v>1546</v>
          </cell>
          <cell r="W54">
            <v>1852</v>
          </cell>
          <cell r="X54">
            <v>1366</v>
          </cell>
          <cell r="Y54">
            <v>0</v>
          </cell>
          <cell r="Z54">
            <v>0</v>
          </cell>
          <cell r="AA54">
            <v>1438</v>
          </cell>
          <cell r="AB54">
            <v>1546</v>
          </cell>
          <cell r="AC54">
            <v>1550</v>
          </cell>
          <cell r="AD54">
            <v>1524</v>
          </cell>
          <cell r="AE54">
            <v>1308</v>
          </cell>
          <cell r="AF54">
            <v>0</v>
          </cell>
          <cell r="AG54">
            <v>0</v>
          </cell>
          <cell r="AH54">
            <v>7496</v>
          </cell>
          <cell r="AI54">
            <v>7366</v>
          </cell>
          <cell r="AJ54">
            <v>6972</v>
          </cell>
          <cell r="AK54">
            <v>6967</v>
          </cell>
          <cell r="AL54">
            <v>7004</v>
          </cell>
          <cell r="AM54">
            <v>7582</v>
          </cell>
          <cell r="AN54">
            <v>7582</v>
          </cell>
          <cell r="AO54">
            <v>7544</v>
          </cell>
          <cell r="AP54">
            <v>7510</v>
          </cell>
          <cell r="AQ54">
            <v>6510</v>
          </cell>
          <cell r="AR54">
            <v>6544</v>
          </cell>
          <cell r="AS54">
            <v>6510</v>
          </cell>
          <cell r="AT54">
            <v>12634</v>
          </cell>
          <cell r="AW54">
            <v>5100002097</v>
          </cell>
          <cell r="AX54" t="str">
            <v>POLYMER MOLDING INC</v>
          </cell>
          <cell r="AY54" t="str">
            <v xml:space="preserve">US </v>
          </cell>
          <cell r="AZ54">
            <v>9</v>
          </cell>
          <cell r="BB54" t="str">
            <v>AADTD</v>
          </cell>
          <cell r="BC54" t="str">
            <v>AADTD-06.08.2026-(21B3)-EPDC</v>
          </cell>
          <cell r="BE54">
            <v>30000</v>
          </cell>
          <cell r="BF54">
            <v>7188.818181818182</v>
          </cell>
          <cell r="BG54">
            <v>4.2349999999999999E-2</v>
          </cell>
          <cell r="BH54">
            <v>20000</v>
          </cell>
          <cell r="BI54">
            <v>2.7820984609937147</v>
          </cell>
          <cell r="BJ54">
            <v>847</v>
          </cell>
          <cell r="BK54">
            <v>46197.692590765961</v>
          </cell>
          <cell r="BL54">
            <v>16.692590765962287</v>
          </cell>
          <cell r="BM54" t="str">
            <v>0</v>
          </cell>
          <cell r="BN54">
            <v>20000</v>
          </cell>
          <cell r="BO54">
            <v>18778</v>
          </cell>
          <cell r="BP54">
            <v>17268</v>
          </cell>
          <cell r="BQ54">
            <v>15722</v>
          </cell>
          <cell r="BR54">
            <v>13870</v>
          </cell>
          <cell r="BS54">
            <v>12504</v>
          </cell>
          <cell r="BT54">
            <v>11066</v>
          </cell>
          <cell r="BU54">
            <v>9520</v>
          </cell>
          <cell r="BV54">
            <v>7970</v>
          </cell>
          <cell r="BW54">
            <v>6446</v>
          </cell>
          <cell r="BY54" t="str">
            <v>EA</v>
          </cell>
        </row>
        <row r="55">
          <cell r="C55" t="str">
            <v>VPAM6H-19D701-AA</v>
          </cell>
          <cell r="D55">
            <v>2000</v>
          </cell>
          <cell r="E55" t="str">
            <v>VALVE CORE A/C CHARGE VA LVE</v>
          </cell>
          <cell r="F55">
            <v>0</v>
          </cell>
          <cell r="G55">
            <v>0</v>
          </cell>
          <cell r="I55">
            <v>0</v>
          </cell>
          <cell r="M55">
            <v>94074</v>
          </cell>
          <cell r="N55">
            <v>86926</v>
          </cell>
          <cell r="O55">
            <v>0</v>
          </cell>
          <cell r="Q55">
            <v>24000</v>
          </cell>
          <cell r="R55">
            <v>82000</v>
          </cell>
          <cell r="S55">
            <v>2440</v>
          </cell>
          <cell r="T55">
            <v>4398</v>
          </cell>
          <cell r="U55">
            <v>6417</v>
          </cell>
          <cell r="V55">
            <v>4835</v>
          </cell>
          <cell r="W55">
            <v>6310</v>
          </cell>
          <cell r="X55">
            <v>4758</v>
          </cell>
          <cell r="Y55">
            <v>0</v>
          </cell>
          <cell r="Z55">
            <v>0</v>
          </cell>
          <cell r="AA55">
            <v>5335</v>
          </cell>
          <cell r="AB55">
            <v>5296</v>
          </cell>
          <cell r="AC55">
            <v>5773</v>
          </cell>
          <cell r="AD55">
            <v>5603</v>
          </cell>
          <cell r="AE55">
            <v>5162</v>
          </cell>
          <cell r="AF55">
            <v>0</v>
          </cell>
          <cell r="AG55">
            <v>0</v>
          </cell>
          <cell r="AH55">
            <v>26718</v>
          </cell>
          <cell r="AI55">
            <v>27169</v>
          </cell>
          <cell r="AJ55">
            <v>26729</v>
          </cell>
          <cell r="AK55">
            <v>27401</v>
          </cell>
          <cell r="AL55">
            <v>27904</v>
          </cell>
          <cell r="AM55">
            <v>27896</v>
          </cell>
          <cell r="AN55">
            <v>27450</v>
          </cell>
          <cell r="AO55">
            <v>28304</v>
          </cell>
          <cell r="AP55">
            <v>29356</v>
          </cell>
          <cell r="AQ55">
            <v>28913</v>
          </cell>
          <cell r="AR55">
            <v>28787</v>
          </cell>
          <cell r="AS55">
            <v>29941</v>
          </cell>
          <cell r="AT55">
            <v>54831</v>
          </cell>
          <cell r="AW55">
            <v>5100001876</v>
          </cell>
          <cell r="AX55" t="str">
            <v>SCHRADER BRIDGEPORT INTE</v>
          </cell>
          <cell r="AY55" t="str">
            <v xml:space="preserve">US </v>
          </cell>
          <cell r="AZ55">
            <v>9</v>
          </cell>
          <cell r="BB55" t="str">
            <v>AADTD</v>
          </cell>
          <cell r="BC55" t="str">
            <v>AADTD-06.08.2026-(21B3)-EPDC</v>
          </cell>
          <cell r="BD55">
            <v>7000</v>
          </cell>
          <cell r="BE55">
            <v>181000</v>
          </cell>
          <cell r="BF55">
            <v>27875.18181818182</v>
          </cell>
          <cell r="BG55">
            <v>0.31</v>
          </cell>
          <cell r="BH55">
            <v>82000</v>
          </cell>
          <cell r="BI55">
            <v>2.9416848483662559</v>
          </cell>
          <cell r="BJ55">
            <v>25420</v>
          </cell>
          <cell r="BK55">
            <v>46198.650109090195</v>
          </cell>
          <cell r="BL55">
            <v>17.650109090197535</v>
          </cell>
          <cell r="BM55" t="str">
            <v>0</v>
          </cell>
          <cell r="BN55">
            <v>82000</v>
          </cell>
          <cell r="BO55">
            <v>77602</v>
          </cell>
          <cell r="BP55">
            <v>71185</v>
          </cell>
          <cell r="BQ55">
            <v>66350</v>
          </cell>
          <cell r="BR55">
            <v>60040</v>
          </cell>
          <cell r="BS55">
            <v>55282</v>
          </cell>
          <cell r="BT55">
            <v>49947</v>
          </cell>
          <cell r="BU55">
            <v>44651</v>
          </cell>
          <cell r="BV55">
            <v>38878</v>
          </cell>
          <cell r="BW55">
            <v>33275</v>
          </cell>
          <cell r="BX55" t="str">
            <v>VPAM6H-19D701-AA</v>
          </cell>
          <cell r="BY55" t="str">
            <v>EA</v>
          </cell>
        </row>
        <row r="56">
          <cell r="C56" t="str">
            <v>DM1S1F2S1A01</v>
          </cell>
          <cell r="D56">
            <v>5000</v>
          </cell>
          <cell r="E56" t="str">
            <v>Plastic Tie Stap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96920</v>
          </cell>
          <cell r="N56">
            <v>-1920</v>
          </cell>
          <cell r="O56">
            <v>0</v>
          </cell>
          <cell r="P56">
            <v>115920</v>
          </cell>
          <cell r="Q56">
            <v>15000</v>
          </cell>
          <cell r="R56">
            <v>30000</v>
          </cell>
          <cell r="S56">
            <v>1530</v>
          </cell>
          <cell r="T56">
            <v>1350</v>
          </cell>
          <cell r="U56">
            <v>1760</v>
          </cell>
          <cell r="V56">
            <v>1360</v>
          </cell>
          <cell r="W56">
            <v>1392</v>
          </cell>
          <cell r="X56">
            <v>1373</v>
          </cell>
          <cell r="Y56">
            <v>0</v>
          </cell>
          <cell r="Z56">
            <v>0</v>
          </cell>
          <cell r="AA56">
            <v>1619</v>
          </cell>
          <cell r="AB56">
            <v>1088</v>
          </cell>
          <cell r="AC56">
            <v>1379</v>
          </cell>
          <cell r="AD56">
            <v>1675</v>
          </cell>
          <cell r="AE56">
            <v>1373</v>
          </cell>
          <cell r="AF56">
            <v>0</v>
          </cell>
          <cell r="AG56">
            <v>0</v>
          </cell>
          <cell r="AH56">
            <v>7235</v>
          </cell>
          <cell r="AI56">
            <v>7134</v>
          </cell>
          <cell r="AJ56">
            <v>7011</v>
          </cell>
          <cell r="AK56">
            <v>6857</v>
          </cell>
          <cell r="AL56">
            <v>7289</v>
          </cell>
          <cell r="AM56">
            <v>8565</v>
          </cell>
          <cell r="AN56">
            <v>8486</v>
          </cell>
          <cell r="AO56">
            <v>8342</v>
          </cell>
          <cell r="AP56">
            <v>9347</v>
          </cell>
          <cell r="AQ56">
            <v>11421</v>
          </cell>
          <cell r="AR56">
            <v>11621</v>
          </cell>
          <cell r="AS56">
            <v>11610</v>
          </cell>
          <cell r="AT56">
            <v>22866</v>
          </cell>
          <cell r="AW56">
            <v>5100002070</v>
          </cell>
          <cell r="AX56" t="str">
            <v>HELLERMANN TYTON CORPORA</v>
          </cell>
          <cell r="AY56" t="str">
            <v xml:space="preserve">US </v>
          </cell>
          <cell r="AZ56">
            <v>9</v>
          </cell>
          <cell r="BB56" t="str">
            <v>AADTD</v>
          </cell>
          <cell r="BC56" t="str">
            <v>AADTD-06.08.2026-(21B3)-EPDC</v>
          </cell>
          <cell r="BD56">
            <v>8800</v>
          </cell>
          <cell r="BE56">
            <v>95000</v>
          </cell>
          <cell r="BF56">
            <v>8482.545454545454</v>
          </cell>
          <cell r="BG56">
            <v>0.03</v>
          </cell>
          <cell r="BH56">
            <v>30000</v>
          </cell>
          <cell r="BI56">
            <v>3.5366742401508984</v>
          </cell>
          <cell r="BJ56">
            <v>900</v>
          </cell>
          <cell r="BK56">
            <v>46202.220045440903</v>
          </cell>
          <cell r="BL56">
            <v>21.220045440905391</v>
          </cell>
          <cell r="BM56" t="str">
            <v>0</v>
          </cell>
          <cell r="BN56">
            <v>30000</v>
          </cell>
          <cell r="BO56">
            <v>28650</v>
          </cell>
          <cell r="BP56">
            <v>26890</v>
          </cell>
          <cell r="BQ56">
            <v>25530</v>
          </cell>
          <cell r="BR56">
            <v>24138</v>
          </cell>
          <cell r="BS56">
            <v>22765</v>
          </cell>
          <cell r="BT56">
            <v>21146</v>
          </cell>
          <cell r="BU56">
            <v>20058</v>
          </cell>
          <cell r="BV56">
            <v>18679</v>
          </cell>
          <cell r="BW56">
            <v>17004</v>
          </cell>
          <cell r="BX56" t="str">
            <v>DM1S1F2S1A01</v>
          </cell>
          <cell r="BY56" t="str">
            <v>EA</v>
          </cell>
        </row>
        <row r="57">
          <cell r="C57" t="str">
            <v>T30-RA3000-HS</v>
          </cell>
          <cell r="D57">
            <v>1</v>
          </cell>
          <cell r="E57" t="str">
            <v>STRAP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36</v>
          </cell>
          <cell r="K57">
            <v>0</v>
          </cell>
          <cell r="L57">
            <v>0</v>
          </cell>
          <cell r="M57">
            <v>141957</v>
          </cell>
          <cell r="N57">
            <v>218043</v>
          </cell>
          <cell r="O57">
            <v>0</v>
          </cell>
          <cell r="P57">
            <v>279957</v>
          </cell>
          <cell r="Q57">
            <v>0</v>
          </cell>
          <cell r="R57">
            <v>288000</v>
          </cell>
          <cell r="S57">
            <v>982</v>
          </cell>
          <cell r="T57">
            <v>14516</v>
          </cell>
          <cell r="U57">
            <v>16755</v>
          </cell>
          <cell r="V57">
            <v>18624</v>
          </cell>
          <cell r="W57">
            <v>19558</v>
          </cell>
          <cell r="X57">
            <v>18988</v>
          </cell>
          <cell r="Y57">
            <v>0</v>
          </cell>
          <cell r="Z57">
            <v>0</v>
          </cell>
          <cell r="AA57">
            <v>19388</v>
          </cell>
          <cell r="AB57">
            <v>16266</v>
          </cell>
          <cell r="AC57">
            <v>20187</v>
          </cell>
          <cell r="AD57">
            <v>19439</v>
          </cell>
          <cell r="AE57">
            <v>17765</v>
          </cell>
          <cell r="AF57">
            <v>0</v>
          </cell>
          <cell r="AG57">
            <v>0</v>
          </cell>
          <cell r="AH57">
            <v>88441</v>
          </cell>
          <cell r="AI57">
            <v>93045</v>
          </cell>
          <cell r="AJ57">
            <v>93165</v>
          </cell>
          <cell r="AK57">
            <v>94002</v>
          </cell>
          <cell r="AL57">
            <v>94435</v>
          </cell>
          <cell r="AM57">
            <v>91324</v>
          </cell>
          <cell r="AN57">
            <v>91254</v>
          </cell>
          <cell r="AO57">
            <v>92384</v>
          </cell>
          <cell r="AP57">
            <v>93753</v>
          </cell>
          <cell r="AQ57">
            <v>93859</v>
          </cell>
          <cell r="AR57">
            <v>92402</v>
          </cell>
          <cell r="AS57">
            <v>92675</v>
          </cell>
          <cell r="AT57">
            <v>194955</v>
          </cell>
          <cell r="AW57">
            <v>5100002070</v>
          </cell>
          <cell r="AX57" t="str">
            <v>HELLERMANN TYTON CORPORA</v>
          </cell>
          <cell r="AY57" t="str">
            <v xml:space="preserve">US </v>
          </cell>
          <cell r="AZ57">
            <v>9</v>
          </cell>
          <cell r="BB57" t="str">
            <v>AADTD</v>
          </cell>
          <cell r="BC57" t="str">
            <v>AADTD-06.08.2026-(21B3)-EPDC</v>
          </cell>
          <cell r="BE57">
            <v>360000</v>
          </cell>
          <cell r="BF57">
            <v>92551.272727272721</v>
          </cell>
          <cell r="BG57">
            <v>3.6069999999999998E-2</v>
          </cell>
          <cell r="BH57">
            <v>288000</v>
          </cell>
          <cell r="BI57">
            <v>3.1117886498294807</v>
          </cell>
          <cell r="BJ57">
            <v>10388.16</v>
          </cell>
          <cell r="BK57">
            <v>46199.670731898979</v>
          </cell>
          <cell r="BL57">
            <v>18.670731898976882</v>
          </cell>
          <cell r="BM57" t="str">
            <v>0</v>
          </cell>
          <cell r="BN57">
            <v>288000</v>
          </cell>
          <cell r="BO57">
            <v>273484</v>
          </cell>
          <cell r="BP57">
            <v>256729</v>
          </cell>
          <cell r="BQ57">
            <v>238105</v>
          </cell>
          <cell r="BR57">
            <v>218547</v>
          </cell>
          <cell r="BS57">
            <v>199559</v>
          </cell>
          <cell r="BT57">
            <v>180171</v>
          </cell>
          <cell r="BU57">
            <v>163905</v>
          </cell>
          <cell r="BV57">
            <v>143718</v>
          </cell>
          <cell r="BW57">
            <v>124279</v>
          </cell>
          <cell r="BX57" t="str">
            <v>T30-RA3000-HS</v>
          </cell>
          <cell r="BY57" t="str">
            <v>EA</v>
          </cell>
        </row>
        <row r="58">
          <cell r="C58" t="str">
            <v>W701890-S439</v>
          </cell>
          <cell r="D58">
            <v>1000</v>
          </cell>
          <cell r="E58" t="str">
            <v>STUD M8X12.5+M8X16.5 PIL SHLDR</v>
          </cell>
          <cell r="F58">
            <v>0</v>
          </cell>
          <cell r="G58">
            <v>67000</v>
          </cell>
          <cell r="I58">
            <v>0</v>
          </cell>
          <cell r="M58">
            <v>15629</v>
          </cell>
          <cell r="N58">
            <v>39371</v>
          </cell>
          <cell r="O58">
            <v>0</v>
          </cell>
          <cell r="Q58">
            <v>119000</v>
          </cell>
          <cell r="R58">
            <v>34000</v>
          </cell>
          <cell r="S58">
            <v>4148</v>
          </cell>
          <cell r="T58">
            <v>5010</v>
          </cell>
          <cell r="U58">
            <v>6590</v>
          </cell>
          <cell r="V58">
            <v>6785</v>
          </cell>
          <cell r="W58">
            <v>6770</v>
          </cell>
          <cell r="X58">
            <v>6612</v>
          </cell>
          <cell r="Y58">
            <v>0</v>
          </cell>
          <cell r="Z58">
            <v>0</v>
          </cell>
          <cell r="AA58">
            <v>6419</v>
          </cell>
          <cell r="AB58">
            <v>6475</v>
          </cell>
          <cell r="AC58">
            <v>6408</v>
          </cell>
          <cell r="AD58">
            <v>6334</v>
          </cell>
          <cell r="AE58">
            <v>6433</v>
          </cell>
          <cell r="AF58">
            <v>0</v>
          </cell>
          <cell r="AG58">
            <v>0</v>
          </cell>
          <cell r="AH58">
            <v>31767</v>
          </cell>
          <cell r="AI58">
            <v>32069</v>
          </cell>
          <cell r="AJ58">
            <v>32299</v>
          </cell>
          <cell r="AK58">
            <v>31572</v>
          </cell>
          <cell r="AL58">
            <v>30508</v>
          </cell>
          <cell r="AM58">
            <v>30515</v>
          </cell>
          <cell r="AN58">
            <v>31093</v>
          </cell>
          <cell r="AO58">
            <v>30213</v>
          </cell>
          <cell r="AP58">
            <v>30891</v>
          </cell>
          <cell r="AQ58">
            <v>31113</v>
          </cell>
          <cell r="AR58">
            <v>30091</v>
          </cell>
          <cell r="AS58">
            <v>30026</v>
          </cell>
          <cell r="AT58">
            <v>1931</v>
          </cell>
          <cell r="AW58">
            <v>5100001781</v>
          </cell>
          <cell r="AX58" t="str">
            <v>KAMAX INC.</v>
          </cell>
          <cell r="AY58" t="str">
            <v xml:space="preserve">US </v>
          </cell>
          <cell r="AZ58">
            <v>9</v>
          </cell>
          <cell r="BB58" t="str">
            <v>AADTD</v>
          </cell>
          <cell r="BC58" t="str">
            <v>AADTD-06.08.2026-(21B3)-JHUB</v>
          </cell>
          <cell r="BD58">
            <v>2400</v>
          </cell>
          <cell r="BE58">
            <v>55000</v>
          </cell>
          <cell r="BF58">
            <v>31102.81818181818</v>
          </cell>
          <cell r="BG58">
            <v>7.2249999999999995E-2</v>
          </cell>
          <cell r="BH58">
            <v>101000</v>
          </cell>
          <cell r="BI58">
            <v>3.2472941651005027</v>
          </cell>
          <cell r="BJ58">
            <v>7297.2499999999991</v>
          </cell>
          <cell r="BK58">
            <v>46200.483764990604</v>
          </cell>
          <cell r="BL58">
            <v>19.483764990603017</v>
          </cell>
          <cell r="BM58" t="str">
            <v>0</v>
          </cell>
          <cell r="BN58">
            <v>34000</v>
          </cell>
          <cell r="BO58">
            <v>28990</v>
          </cell>
          <cell r="BP58">
            <v>22400</v>
          </cell>
          <cell r="BQ58">
            <v>15615</v>
          </cell>
          <cell r="BR58">
            <v>8845</v>
          </cell>
          <cell r="BS58">
            <v>2233</v>
          </cell>
          <cell r="BT58">
            <v>-4186</v>
          </cell>
          <cell r="BU58">
            <v>-10661</v>
          </cell>
          <cell r="BV58">
            <v>-17069</v>
          </cell>
          <cell r="BW58">
            <v>-23403</v>
          </cell>
          <cell r="BX58" t="str">
            <v>W701890-S439</v>
          </cell>
          <cell r="BY58" t="str">
            <v>EA</v>
          </cell>
        </row>
        <row r="59">
          <cell r="C59" t="str">
            <v>YR3H-18K459-AAA</v>
          </cell>
          <cell r="D59">
            <v>1524</v>
          </cell>
          <cell r="E59" t="str">
            <v>5/16 HOSE &amp; 5/8inTUBE CO NVOLUTED SL</v>
          </cell>
          <cell r="F59">
            <v>0</v>
          </cell>
          <cell r="G59">
            <v>0</v>
          </cell>
          <cell r="H59">
            <v>0</v>
          </cell>
          <cell r="I59">
            <v>762</v>
          </cell>
          <cell r="J59">
            <v>0</v>
          </cell>
          <cell r="K59">
            <v>0</v>
          </cell>
          <cell r="L59">
            <v>0</v>
          </cell>
          <cell r="M59">
            <v>1265.95</v>
          </cell>
          <cell r="N59">
            <v>-265.95000000000005</v>
          </cell>
          <cell r="O59">
            <v>0</v>
          </cell>
          <cell r="P59">
            <v>2027950</v>
          </cell>
          <cell r="Q59">
            <v>0</v>
          </cell>
          <cell r="R59">
            <v>0</v>
          </cell>
          <cell r="S59">
            <v>13.6</v>
          </cell>
          <cell r="T59">
            <v>68.400000000000006</v>
          </cell>
          <cell r="U59">
            <v>82</v>
          </cell>
          <cell r="V59">
            <v>53.2</v>
          </cell>
          <cell r="W59">
            <v>53.2</v>
          </cell>
          <cell r="X59">
            <v>53.2</v>
          </cell>
          <cell r="Y59">
            <v>0</v>
          </cell>
          <cell r="Z59">
            <v>0</v>
          </cell>
          <cell r="AA59">
            <v>82</v>
          </cell>
          <cell r="AB59">
            <v>68.400000000000006</v>
          </cell>
          <cell r="AC59">
            <v>95.6</v>
          </cell>
          <cell r="AD59">
            <v>68.400000000000006</v>
          </cell>
          <cell r="AE59">
            <v>82</v>
          </cell>
          <cell r="AF59">
            <v>0</v>
          </cell>
          <cell r="AG59">
            <v>0</v>
          </cell>
          <cell r="AH59">
            <v>310</v>
          </cell>
          <cell r="AI59">
            <v>396.4</v>
          </cell>
          <cell r="AJ59">
            <v>394.8</v>
          </cell>
          <cell r="AK59">
            <v>410</v>
          </cell>
          <cell r="AL59">
            <v>410</v>
          </cell>
          <cell r="AM59">
            <v>423.6</v>
          </cell>
          <cell r="AN59">
            <v>423.6</v>
          </cell>
          <cell r="AO59">
            <v>453</v>
          </cell>
          <cell r="AP59">
            <v>382.8</v>
          </cell>
          <cell r="AQ59">
            <v>423.6</v>
          </cell>
          <cell r="AR59">
            <v>423.6</v>
          </cell>
          <cell r="AS59">
            <v>452.4</v>
          </cell>
          <cell r="AT59">
            <v>-396.4</v>
          </cell>
          <cell r="AW59">
            <v>5100002082</v>
          </cell>
          <cell r="AX59" t="str">
            <v>DELFINGEN US INC</v>
          </cell>
          <cell r="AY59" t="str">
            <v xml:space="preserve">US </v>
          </cell>
          <cell r="AZ59">
            <v>9</v>
          </cell>
          <cell r="BB59" t="str">
            <v>AADTD</v>
          </cell>
          <cell r="BC59" t="str">
            <v>AADTD-06.08.2026-(21B3)-EPDC</v>
          </cell>
          <cell r="BD59">
            <v>6750</v>
          </cell>
          <cell r="BE59">
            <v>1000</v>
          </cell>
          <cell r="BF59">
            <v>404.67272727272734</v>
          </cell>
          <cell r="BG59">
            <v>2.3000000000000001E-4</v>
          </cell>
          <cell r="BH59">
            <v>762</v>
          </cell>
          <cell r="BI59">
            <v>1.8830031001482677</v>
          </cell>
          <cell r="BJ59">
            <v>175.26</v>
          </cell>
          <cell r="BK59">
            <v>46192.298018600886</v>
          </cell>
          <cell r="BL59">
            <v>11.298018600889606</v>
          </cell>
          <cell r="BM59">
            <v>0</v>
          </cell>
          <cell r="BN59">
            <v>0</v>
          </cell>
          <cell r="BO59">
            <v>-68.400000000000006</v>
          </cell>
          <cell r="BP59">
            <v>-150.4</v>
          </cell>
          <cell r="BQ59">
            <v>-203.60000000000002</v>
          </cell>
          <cell r="BR59">
            <v>-256.8</v>
          </cell>
          <cell r="BS59">
            <v>-310</v>
          </cell>
          <cell r="BT59">
            <v>-392</v>
          </cell>
          <cell r="BU59">
            <v>-460.4</v>
          </cell>
          <cell r="BV59">
            <v>-556</v>
          </cell>
          <cell r="BW59">
            <v>-624.4</v>
          </cell>
          <cell r="BY59" t="str">
            <v>MM</v>
          </cell>
        </row>
        <row r="60">
          <cell r="C60" t="str">
            <v>VPDG9H-13N203-BB</v>
          </cell>
          <cell r="D60">
            <v>1500</v>
          </cell>
          <cell r="E60" t="str">
            <v>STUD</v>
          </cell>
          <cell r="F60">
            <v>0</v>
          </cell>
          <cell r="G60">
            <v>10500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681</v>
          </cell>
          <cell r="N60">
            <v>25819</v>
          </cell>
          <cell r="O60">
            <v>0</v>
          </cell>
          <cell r="P60">
            <v>18681</v>
          </cell>
          <cell r="Q60">
            <v>30000</v>
          </cell>
          <cell r="R60">
            <v>12000</v>
          </cell>
          <cell r="S60">
            <v>624</v>
          </cell>
          <cell r="T60">
            <v>1234</v>
          </cell>
          <cell r="U60">
            <v>980</v>
          </cell>
          <cell r="V60">
            <v>1234</v>
          </cell>
          <cell r="W60">
            <v>1810</v>
          </cell>
          <cell r="X60">
            <v>1200</v>
          </cell>
          <cell r="Y60">
            <v>0</v>
          </cell>
          <cell r="Z60">
            <v>0</v>
          </cell>
          <cell r="AA60">
            <v>1228</v>
          </cell>
          <cell r="AB60">
            <v>1204</v>
          </cell>
          <cell r="AC60">
            <v>1522</v>
          </cell>
          <cell r="AD60">
            <v>1228</v>
          </cell>
          <cell r="AE60">
            <v>1424</v>
          </cell>
          <cell r="AF60">
            <v>0</v>
          </cell>
          <cell r="AG60">
            <v>0</v>
          </cell>
          <cell r="AH60">
            <v>6458</v>
          </cell>
          <cell r="AI60">
            <v>6606</v>
          </cell>
          <cell r="AJ60">
            <v>7040</v>
          </cell>
          <cell r="AK60">
            <v>6440</v>
          </cell>
          <cell r="AL60">
            <v>6958</v>
          </cell>
          <cell r="AM60">
            <v>6854</v>
          </cell>
          <cell r="AN60">
            <v>7726</v>
          </cell>
          <cell r="AO60">
            <v>6593</v>
          </cell>
          <cell r="AP60">
            <v>7280</v>
          </cell>
          <cell r="AQ60">
            <v>6290</v>
          </cell>
          <cell r="AR60">
            <v>5638</v>
          </cell>
          <cell r="AS60">
            <v>5928</v>
          </cell>
          <cell r="AT60">
            <v>5394</v>
          </cell>
          <cell r="AW60">
            <v>5100001781</v>
          </cell>
          <cell r="AX60" t="str">
            <v>KAMAX INC.</v>
          </cell>
          <cell r="AY60" t="str">
            <v xml:space="preserve">US </v>
          </cell>
          <cell r="AZ60">
            <v>9</v>
          </cell>
          <cell r="BB60" t="str">
            <v>AADTD</v>
          </cell>
          <cell r="BC60" t="str">
            <v>AADTD-06.08.2026-(21B3)-JHUB</v>
          </cell>
          <cell r="BD60">
            <v>6750</v>
          </cell>
          <cell r="BE60">
            <v>26500</v>
          </cell>
          <cell r="BF60">
            <v>6716.636363636364</v>
          </cell>
          <cell r="BG60">
            <v>6.6170000000000007E-2</v>
          </cell>
          <cell r="BH60">
            <v>22500</v>
          </cell>
          <cell r="BI60">
            <v>3.3498910439478635</v>
          </cell>
          <cell r="BJ60">
            <v>1488.825</v>
          </cell>
          <cell r="BK60">
            <v>46201.099346263691</v>
          </cell>
          <cell r="BL60">
            <v>20.099346263687181</v>
          </cell>
          <cell r="BM60" t="str">
            <v>0</v>
          </cell>
          <cell r="BN60">
            <v>12000</v>
          </cell>
          <cell r="BO60">
            <v>10766</v>
          </cell>
          <cell r="BP60">
            <v>9786</v>
          </cell>
          <cell r="BQ60">
            <v>8552</v>
          </cell>
          <cell r="BR60">
            <v>6742</v>
          </cell>
          <cell r="BS60">
            <v>5542</v>
          </cell>
          <cell r="BT60">
            <v>4314</v>
          </cell>
          <cell r="BU60">
            <v>3110</v>
          </cell>
          <cell r="BV60">
            <v>1588</v>
          </cell>
          <cell r="BW60">
            <v>360</v>
          </cell>
          <cell r="BY60" t="str">
            <v>EA</v>
          </cell>
        </row>
        <row r="61">
          <cell r="C61" t="str">
            <v>FC1Z0F2S7U01</v>
          </cell>
          <cell r="D61">
            <v>200</v>
          </cell>
          <cell r="E61" t="str">
            <v>HOSE-A/C FORMED-BARRIER GALAXY 5/16 4898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771</v>
          </cell>
          <cell r="N61">
            <v>1229</v>
          </cell>
          <cell r="O61">
            <v>0</v>
          </cell>
          <cell r="P61">
            <v>5371</v>
          </cell>
          <cell r="Q61">
            <v>400</v>
          </cell>
          <cell r="R61">
            <v>6000</v>
          </cell>
          <cell r="S61">
            <v>0</v>
          </cell>
          <cell r="T61">
            <v>288</v>
          </cell>
          <cell r="U61">
            <v>288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288</v>
          </cell>
          <cell r="AB61">
            <v>288</v>
          </cell>
          <cell r="AC61">
            <v>288</v>
          </cell>
          <cell r="AD61">
            <v>288</v>
          </cell>
          <cell r="AE61">
            <v>288</v>
          </cell>
          <cell r="AF61">
            <v>0</v>
          </cell>
          <cell r="AG61">
            <v>0</v>
          </cell>
          <cell r="AH61">
            <v>576</v>
          </cell>
          <cell r="AI61">
            <v>1440</v>
          </cell>
          <cell r="AJ61">
            <v>1152</v>
          </cell>
          <cell r="AK61">
            <v>1440</v>
          </cell>
          <cell r="AL61">
            <v>1440</v>
          </cell>
          <cell r="AM61">
            <v>1440</v>
          </cell>
          <cell r="AN61">
            <v>1440</v>
          </cell>
          <cell r="AO61">
            <v>1728</v>
          </cell>
          <cell r="AP61">
            <v>1440</v>
          </cell>
          <cell r="AQ61">
            <v>1440</v>
          </cell>
          <cell r="AR61">
            <v>1440</v>
          </cell>
          <cell r="AS61">
            <v>1728</v>
          </cell>
          <cell r="AT61">
            <v>4560</v>
          </cell>
          <cell r="AW61">
            <v>5100005175</v>
          </cell>
          <cell r="AX61" t="str">
            <v>CONTITECH NORTH AMERICA,</v>
          </cell>
          <cell r="AY61" t="str">
            <v xml:space="preserve">US </v>
          </cell>
          <cell r="AZ61">
            <v>9</v>
          </cell>
          <cell r="BB61" t="str">
            <v>AADTD</v>
          </cell>
          <cell r="BC61" t="str">
            <v>AADTD-06.08.2026-(21B3)-EPDC</v>
          </cell>
          <cell r="BE61">
            <v>2000</v>
          </cell>
          <cell r="BF61">
            <v>1362.4545454545455</v>
          </cell>
          <cell r="BG61">
            <v>2.1259999999999999</v>
          </cell>
          <cell r="BH61">
            <v>6000</v>
          </cell>
          <cell r="BI61">
            <v>4.4038166410889437</v>
          </cell>
          <cell r="BJ61">
            <v>12756</v>
          </cell>
          <cell r="BK61">
            <v>46207.422899846533</v>
          </cell>
          <cell r="BL61">
            <v>26.42289984653366</v>
          </cell>
          <cell r="BM61">
            <v>400</v>
          </cell>
          <cell r="BN61">
            <v>6000</v>
          </cell>
          <cell r="BO61">
            <v>5712</v>
          </cell>
          <cell r="BP61">
            <v>5424</v>
          </cell>
          <cell r="BQ61">
            <v>5424</v>
          </cell>
          <cell r="BR61">
            <v>5424</v>
          </cell>
          <cell r="BS61">
            <v>5424</v>
          </cell>
          <cell r="BT61">
            <v>5136</v>
          </cell>
          <cell r="BU61">
            <v>4848</v>
          </cell>
          <cell r="BV61">
            <v>4560</v>
          </cell>
          <cell r="BW61">
            <v>4272</v>
          </cell>
          <cell r="BX61" t="str">
            <v>FC1Z0F2S7U01</v>
          </cell>
          <cell r="BY61" t="str">
            <v>EA</v>
          </cell>
        </row>
        <row r="62">
          <cell r="C62" t="str">
            <v>RM-3G58-D</v>
          </cell>
          <cell r="D62">
            <v>1050</v>
          </cell>
          <cell r="E62" t="str">
            <v>TAPE - POLYKEN</v>
          </cell>
          <cell r="F62">
            <v>0</v>
          </cell>
          <cell r="G62">
            <v>0</v>
          </cell>
          <cell r="I62">
            <v>0</v>
          </cell>
          <cell r="M62">
            <v>1070.0527999999999</v>
          </cell>
          <cell r="N62">
            <v>13929.947200000001</v>
          </cell>
          <cell r="O62">
            <v>1050</v>
          </cell>
          <cell r="Q62">
            <v>25200</v>
          </cell>
          <cell r="R62">
            <v>23100</v>
          </cell>
          <cell r="S62">
            <v>30.047999999999998</v>
          </cell>
          <cell r="T62">
            <v>825.24800000000005</v>
          </cell>
          <cell r="U62">
            <v>1362.3679999999999</v>
          </cell>
          <cell r="V62">
            <v>1438.328</v>
          </cell>
          <cell r="W62">
            <v>1413.848</v>
          </cell>
          <cell r="X62">
            <v>1382.8879999999999</v>
          </cell>
          <cell r="Y62">
            <v>0</v>
          </cell>
          <cell r="Z62">
            <v>0</v>
          </cell>
          <cell r="AA62">
            <v>1354.44</v>
          </cell>
          <cell r="AB62">
            <v>1442.296</v>
          </cell>
          <cell r="AC62">
            <v>1362.3679999999999</v>
          </cell>
          <cell r="AD62">
            <v>1385.4</v>
          </cell>
          <cell r="AE62">
            <v>1332.4880000000001</v>
          </cell>
          <cell r="AF62">
            <v>0</v>
          </cell>
          <cell r="AG62">
            <v>0</v>
          </cell>
          <cell r="AH62">
            <v>6422.68</v>
          </cell>
          <cell r="AI62">
            <v>6876.9920000000002</v>
          </cell>
          <cell r="AJ62">
            <v>6902.2871999999998</v>
          </cell>
          <cell r="AK62">
            <v>6915.52</v>
          </cell>
          <cell r="AL62">
            <v>6948.96</v>
          </cell>
          <cell r="AM62">
            <v>6942.22</v>
          </cell>
          <cell r="AN62">
            <v>7081.9679999999998</v>
          </cell>
          <cell r="AO62">
            <v>6947.6360000000004</v>
          </cell>
          <cell r="AP62">
            <v>6488.9040000000005</v>
          </cell>
          <cell r="AQ62">
            <v>6902.5919999999996</v>
          </cell>
          <cell r="AR62">
            <v>6954.4319999999998</v>
          </cell>
          <cell r="AS62">
            <v>7264.9920000000002</v>
          </cell>
          <cell r="AT62">
            <v>16223.008000000002</v>
          </cell>
          <cell r="AW62">
            <v>5100002046</v>
          </cell>
          <cell r="AX62" t="str">
            <v>SUPPLY TECHNOLOGIES  LLC</v>
          </cell>
          <cell r="AY62" t="str">
            <v xml:space="preserve">US </v>
          </cell>
          <cell r="AZ62">
            <v>9</v>
          </cell>
          <cell r="BB62" t="str">
            <v>AADTD</v>
          </cell>
          <cell r="BC62" t="str">
            <v>AADTD-06.08.2026-(21B3)-EPDC</v>
          </cell>
          <cell r="BE62">
            <v>15000</v>
          </cell>
          <cell r="BF62">
            <v>6853.108290909091</v>
          </cell>
          <cell r="BG62">
            <v>8.7000000000000001E-4</v>
          </cell>
          <cell r="BH62">
            <v>24150</v>
          </cell>
          <cell r="BI62">
            <v>3.5239484004704691</v>
          </cell>
          <cell r="BJ62">
            <v>21010.5</v>
          </cell>
          <cell r="BK62">
            <v>46202.143690402823</v>
          </cell>
          <cell r="BL62">
            <v>21.143690402822813</v>
          </cell>
          <cell r="BM62">
            <v>0</v>
          </cell>
          <cell r="BN62">
            <v>23100</v>
          </cell>
          <cell r="BO62">
            <v>22274.752</v>
          </cell>
          <cell r="BP62">
            <v>20912.384000000002</v>
          </cell>
          <cell r="BQ62">
            <v>19474.056</v>
          </cell>
          <cell r="BR62">
            <v>18060.207999999999</v>
          </cell>
          <cell r="BS62">
            <v>16677.32</v>
          </cell>
          <cell r="BT62">
            <v>15322.88</v>
          </cell>
          <cell r="BU62">
            <v>13880.583999999999</v>
          </cell>
          <cell r="BV62">
            <v>12518.215999999999</v>
          </cell>
          <cell r="BW62">
            <v>11132.815999999999</v>
          </cell>
          <cell r="BX62" t="str">
            <v>RM-3G58-D</v>
          </cell>
          <cell r="BY62" t="str">
            <v>MM</v>
          </cell>
        </row>
        <row r="63">
          <cell r="C63" t="str">
            <v>FC2C5F2S3T02</v>
          </cell>
          <cell r="D63">
            <v>500</v>
          </cell>
          <cell r="E63" t="str">
            <v>GROMMET-A/C TUBE BRKT</v>
          </cell>
          <cell r="F63">
            <v>0</v>
          </cell>
          <cell r="G63">
            <v>11250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1635</v>
          </cell>
          <cell r="N63">
            <v>2565</v>
          </cell>
          <cell r="O63">
            <v>0</v>
          </cell>
          <cell r="P63">
            <v>20385</v>
          </cell>
          <cell r="Q63">
            <v>5000</v>
          </cell>
          <cell r="R63">
            <v>7500</v>
          </cell>
          <cell r="S63">
            <v>1856</v>
          </cell>
          <cell r="T63">
            <v>1152</v>
          </cell>
          <cell r="U63">
            <v>768</v>
          </cell>
          <cell r="V63">
            <v>1664</v>
          </cell>
          <cell r="W63">
            <v>960</v>
          </cell>
          <cell r="X63">
            <v>640</v>
          </cell>
          <cell r="Y63">
            <v>0</v>
          </cell>
          <cell r="Z63">
            <v>0</v>
          </cell>
          <cell r="AA63">
            <v>1280</v>
          </cell>
          <cell r="AB63">
            <v>768</v>
          </cell>
          <cell r="AC63">
            <v>896</v>
          </cell>
          <cell r="AD63">
            <v>1280</v>
          </cell>
          <cell r="AE63">
            <v>768</v>
          </cell>
          <cell r="AF63">
            <v>0</v>
          </cell>
          <cell r="AG63">
            <v>0</v>
          </cell>
          <cell r="AH63">
            <v>5184</v>
          </cell>
          <cell r="AI63">
            <v>4992</v>
          </cell>
          <cell r="AJ63">
            <v>4608</v>
          </cell>
          <cell r="AK63">
            <v>5088</v>
          </cell>
          <cell r="AL63">
            <v>4672</v>
          </cell>
          <cell r="AM63">
            <v>5216</v>
          </cell>
          <cell r="AN63">
            <v>4736</v>
          </cell>
          <cell r="AO63">
            <v>6016</v>
          </cell>
          <cell r="AP63">
            <v>6656</v>
          </cell>
          <cell r="AQ63">
            <v>6018</v>
          </cell>
          <cell r="AR63">
            <v>6144</v>
          </cell>
          <cell r="AS63">
            <v>6148</v>
          </cell>
          <cell r="AT63">
            <v>2508</v>
          </cell>
          <cell r="AW63">
            <v>5100001970</v>
          </cell>
          <cell r="AX63" t="str">
            <v>SINCLAIR &amp; RUSH, INC.</v>
          </cell>
          <cell r="AY63" t="str">
            <v xml:space="preserve">US </v>
          </cell>
          <cell r="AZ63">
            <v>9</v>
          </cell>
          <cell r="BB63" t="str">
            <v>AADTD</v>
          </cell>
          <cell r="BC63" t="str">
            <v>AADTD-06.08.2026-(21B3)-JHUB</v>
          </cell>
          <cell r="BE63">
            <v>4200</v>
          </cell>
          <cell r="BF63">
            <v>5393.636363636364</v>
          </cell>
          <cell r="BG63">
            <v>0.16550000000000001</v>
          </cell>
          <cell r="BH63">
            <v>18750</v>
          </cell>
          <cell r="BI63">
            <v>3.4763188943199053</v>
          </cell>
          <cell r="BJ63">
            <v>3103.125</v>
          </cell>
          <cell r="BK63">
            <v>46201.857913365922</v>
          </cell>
          <cell r="BL63">
            <v>20.85791336591943</v>
          </cell>
          <cell r="BM63" t="str">
            <v>0</v>
          </cell>
          <cell r="BN63">
            <v>7500</v>
          </cell>
          <cell r="BO63">
            <v>6348</v>
          </cell>
          <cell r="BP63">
            <v>5580</v>
          </cell>
          <cell r="BQ63">
            <v>3916</v>
          </cell>
          <cell r="BR63">
            <v>2956</v>
          </cell>
          <cell r="BS63">
            <v>2316</v>
          </cell>
          <cell r="BT63">
            <v>1036</v>
          </cell>
          <cell r="BU63">
            <v>268</v>
          </cell>
          <cell r="BV63">
            <v>-628</v>
          </cell>
          <cell r="BW63">
            <v>-1908</v>
          </cell>
          <cell r="BX63" t="str">
            <v>FC2C5F2S3T02</v>
          </cell>
          <cell r="BY63" t="str">
            <v>EA</v>
          </cell>
        </row>
        <row r="64">
          <cell r="C64" t="str">
            <v>FC1Z0F2S7T01</v>
          </cell>
          <cell r="D64">
            <v>100</v>
          </cell>
          <cell r="E64" t="str">
            <v>13/32" Formed HoseGY4898</v>
          </cell>
          <cell r="F64">
            <v>0</v>
          </cell>
          <cell r="G64">
            <v>1600</v>
          </cell>
          <cell r="I64">
            <v>0</v>
          </cell>
          <cell r="M64">
            <v>1106</v>
          </cell>
          <cell r="N64">
            <v>1394</v>
          </cell>
          <cell r="O64">
            <v>0</v>
          </cell>
          <cell r="Q64">
            <v>2000</v>
          </cell>
          <cell r="R64">
            <v>17700</v>
          </cell>
          <cell r="S64">
            <v>0</v>
          </cell>
          <cell r="T64">
            <v>1920</v>
          </cell>
          <cell r="U64">
            <v>360</v>
          </cell>
          <cell r="V64">
            <v>1680</v>
          </cell>
          <cell r="W64">
            <v>1080</v>
          </cell>
          <cell r="X64">
            <v>1200</v>
          </cell>
          <cell r="Y64">
            <v>0</v>
          </cell>
          <cell r="Z64">
            <v>0</v>
          </cell>
          <cell r="AA64">
            <v>960</v>
          </cell>
          <cell r="AB64">
            <v>0</v>
          </cell>
          <cell r="AC64">
            <v>1325</v>
          </cell>
          <cell r="AD64">
            <v>1440</v>
          </cell>
          <cell r="AE64">
            <v>1680</v>
          </cell>
          <cell r="AF64">
            <v>0</v>
          </cell>
          <cell r="AG64">
            <v>0</v>
          </cell>
          <cell r="AH64">
            <v>6240</v>
          </cell>
          <cell r="AI64">
            <v>5405</v>
          </cell>
          <cell r="AJ64">
            <v>4440</v>
          </cell>
          <cell r="AK64">
            <v>4080</v>
          </cell>
          <cell r="AL64">
            <v>3360</v>
          </cell>
          <cell r="AM64">
            <v>2040</v>
          </cell>
          <cell r="AN64">
            <v>4200</v>
          </cell>
          <cell r="AO64">
            <v>2400</v>
          </cell>
          <cell r="AP64">
            <v>4680</v>
          </cell>
          <cell r="AQ64">
            <v>3841</v>
          </cell>
          <cell r="AR64">
            <v>3961</v>
          </cell>
          <cell r="AS64">
            <v>2882</v>
          </cell>
          <cell r="AT64">
            <v>12295</v>
          </cell>
          <cell r="AW64">
            <v>5100005175</v>
          </cell>
          <cell r="AX64" t="str">
            <v>CONTITECH NORTH AMERICA,</v>
          </cell>
          <cell r="AY64" t="str">
            <v xml:space="preserve">US </v>
          </cell>
          <cell r="AZ64">
            <v>9</v>
          </cell>
          <cell r="BB64" t="str">
            <v>AADTD</v>
          </cell>
          <cell r="BC64" t="str">
            <v>AADTD-06.08.2026-(21B3)-JHUB</v>
          </cell>
          <cell r="BE64">
            <v>2500</v>
          </cell>
          <cell r="BF64">
            <v>4058.818181818182</v>
          </cell>
          <cell r="BG64">
            <v>2.6280000000000001</v>
          </cell>
          <cell r="BH64">
            <v>19300</v>
          </cell>
          <cell r="BI64">
            <v>4.7550787286939773</v>
          </cell>
          <cell r="BJ64">
            <v>50720.4</v>
          </cell>
          <cell r="BK64">
            <v>46209.530472372164</v>
          </cell>
          <cell r="BL64">
            <v>28.530472372163864</v>
          </cell>
          <cell r="BM64">
            <v>2700</v>
          </cell>
          <cell r="BN64">
            <v>17700</v>
          </cell>
          <cell r="BO64">
            <v>15780</v>
          </cell>
          <cell r="BP64">
            <v>15420</v>
          </cell>
          <cell r="BQ64">
            <v>13740</v>
          </cell>
          <cell r="BR64">
            <v>12660</v>
          </cell>
          <cell r="BS64">
            <v>11460</v>
          </cell>
          <cell r="BT64">
            <v>10500</v>
          </cell>
          <cell r="BU64">
            <v>10500</v>
          </cell>
          <cell r="BV64">
            <v>9175</v>
          </cell>
          <cell r="BW64">
            <v>7735</v>
          </cell>
          <cell r="BX64" t="str">
            <v>FC1Z0F2S7T01</v>
          </cell>
          <cell r="BY64" t="str">
            <v>EA</v>
          </cell>
        </row>
        <row r="65">
          <cell r="C65" t="str">
            <v>VPDG9H-19E778-CA</v>
          </cell>
          <cell r="D65">
            <v>5000</v>
          </cell>
          <cell r="E65" t="str">
            <v>SHIPPING CAP / BULK / 8M M MALE MSF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41202</v>
          </cell>
          <cell r="N65">
            <v>18798</v>
          </cell>
          <cell r="O65">
            <v>0</v>
          </cell>
          <cell r="P65">
            <v>61202</v>
          </cell>
          <cell r="Q65">
            <v>20000</v>
          </cell>
          <cell r="R65">
            <v>40000</v>
          </cell>
          <cell r="S65">
            <v>1353</v>
          </cell>
          <cell r="T65">
            <v>1536</v>
          </cell>
          <cell r="U65">
            <v>1208</v>
          </cell>
          <cell r="V65">
            <v>1792</v>
          </cell>
          <cell r="W65">
            <v>1492</v>
          </cell>
          <cell r="X65">
            <v>1890</v>
          </cell>
          <cell r="Y65">
            <v>0</v>
          </cell>
          <cell r="Z65">
            <v>0</v>
          </cell>
          <cell r="AA65">
            <v>1924</v>
          </cell>
          <cell r="AB65">
            <v>2846</v>
          </cell>
          <cell r="AC65">
            <v>1684</v>
          </cell>
          <cell r="AD65">
            <v>1768</v>
          </cell>
          <cell r="AE65">
            <v>2200</v>
          </cell>
          <cell r="AF65">
            <v>0</v>
          </cell>
          <cell r="AG65">
            <v>0</v>
          </cell>
          <cell r="AH65">
            <v>7918</v>
          </cell>
          <cell r="AI65">
            <v>10422</v>
          </cell>
          <cell r="AJ65">
            <v>10265</v>
          </cell>
          <cell r="AK65">
            <v>9709</v>
          </cell>
          <cell r="AL65">
            <v>11627</v>
          </cell>
          <cell r="AM65">
            <v>9488</v>
          </cell>
          <cell r="AN65">
            <v>10271</v>
          </cell>
          <cell r="AO65">
            <v>10550</v>
          </cell>
          <cell r="AP65">
            <v>10120</v>
          </cell>
          <cell r="AQ65">
            <v>10009</v>
          </cell>
          <cell r="AR65">
            <v>9780</v>
          </cell>
          <cell r="AS65">
            <v>9910</v>
          </cell>
          <cell r="AT65">
            <v>29578</v>
          </cell>
          <cell r="AW65">
            <v>5100002097</v>
          </cell>
          <cell r="AX65" t="str">
            <v>POLYMER MOLDING INC</v>
          </cell>
          <cell r="AY65" t="str">
            <v xml:space="preserve">US </v>
          </cell>
          <cell r="AZ65">
            <v>9</v>
          </cell>
          <cell r="BB65" t="str">
            <v>AADTD</v>
          </cell>
          <cell r="BC65" t="str">
            <v>AADTD-06.08.2026-(21B3)-EPDC</v>
          </cell>
          <cell r="BE65">
            <v>60000</v>
          </cell>
          <cell r="BF65">
            <v>10014.454545454546</v>
          </cell>
          <cell r="BG65">
            <v>8.0999999999999996E-3</v>
          </cell>
          <cell r="BH65">
            <v>40000</v>
          </cell>
          <cell r="BI65">
            <v>3.9942265271108122</v>
          </cell>
          <cell r="BJ65">
            <v>324</v>
          </cell>
          <cell r="BK65">
            <v>46204.965359162663</v>
          </cell>
          <cell r="BL65">
            <v>23.965359162664875</v>
          </cell>
          <cell r="BM65" t="str">
            <v>0</v>
          </cell>
          <cell r="BN65">
            <v>40000</v>
          </cell>
          <cell r="BO65">
            <v>38464</v>
          </cell>
          <cell r="BP65">
            <v>37256</v>
          </cell>
          <cell r="BQ65">
            <v>35464</v>
          </cell>
          <cell r="BR65">
            <v>33972</v>
          </cell>
          <cell r="BS65">
            <v>32082</v>
          </cell>
          <cell r="BT65">
            <v>30158</v>
          </cell>
          <cell r="BU65">
            <v>27312</v>
          </cell>
          <cell r="BV65">
            <v>25628</v>
          </cell>
          <cell r="BW65">
            <v>23860</v>
          </cell>
          <cell r="BY65" t="str">
            <v>EA</v>
          </cell>
        </row>
        <row r="66">
          <cell r="C66" t="str">
            <v>2GCH-19E750-CA</v>
          </cell>
          <cell r="D66">
            <v>5000</v>
          </cell>
          <cell r="E66" t="str">
            <v>Gasket-A/C Tube Bracket</v>
          </cell>
          <cell r="F66">
            <v>0</v>
          </cell>
          <cell r="G66">
            <v>25000</v>
          </cell>
          <cell r="I66">
            <v>0</v>
          </cell>
          <cell r="M66">
            <v>1360</v>
          </cell>
          <cell r="N66">
            <v>128640</v>
          </cell>
          <cell r="O66">
            <v>0</v>
          </cell>
          <cell r="Q66">
            <v>20000</v>
          </cell>
          <cell r="R66">
            <v>17500</v>
          </cell>
          <cell r="S66">
            <v>3023</v>
          </cell>
          <cell r="T66">
            <v>2044</v>
          </cell>
          <cell r="U66">
            <v>2880</v>
          </cell>
          <cell r="V66">
            <v>2491</v>
          </cell>
          <cell r="W66">
            <v>2770</v>
          </cell>
          <cell r="X66">
            <v>2339</v>
          </cell>
          <cell r="Y66">
            <v>0</v>
          </cell>
          <cell r="Z66">
            <v>0</v>
          </cell>
          <cell r="AA66">
            <v>2673</v>
          </cell>
          <cell r="AB66">
            <v>2357</v>
          </cell>
          <cell r="AC66">
            <v>2788</v>
          </cell>
          <cell r="AD66">
            <v>2625</v>
          </cell>
          <cell r="AE66">
            <v>2488</v>
          </cell>
          <cell r="AF66">
            <v>0</v>
          </cell>
          <cell r="AG66">
            <v>0</v>
          </cell>
          <cell r="AH66">
            <v>12524</v>
          </cell>
          <cell r="AI66">
            <v>12931</v>
          </cell>
          <cell r="AJ66">
            <v>12377</v>
          </cell>
          <cell r="AK66">
            <v>12998</v>
          </cell>
          <cell r="AL66">
            <v>12314</v>
          </cell>
          <cell r="AM66">
            <v>12913</v>
          </cell>
          <cell r="AN66">
            <v>12724</v>
          </cell>
          <cell r="AO66">
            <v>12658</v>
          </cell>
          <cell r="AP66">
            <v>12471</v>
          </cell>
          <cell r="AQ66">
            <v>13082</v>
          </cell>
          <cell r="AR66">
            <v>13219</v>
          </cell>
          <cell r="AS66">
            <v>12790</v>
          </cell>
          <cell r="AT66">
            <v>4569</v>
          </cell>
          <cell r="AW66">
            <v>5100001846</v>
          </cell>
          <cell r="AX66" t="str">
            <v>PARKER HANNIFIN CORPORAT</v>
          </cell>
          <cell r="AY66" t="str">
            <v xml:space="preserve">US </v>
          </cell>
          <cell r="AZ66">
            <v>9</v>
          </cell>
          <cell r="BB66" t="str">
            <v>AADTD</v>
          </cell>
          <cell r="BC66" t="str">
            <v>AADTD-06.08.2026-(21B3)-JHUB</v>
          </cell>
          <cell r="BD66">
            <v>42000</v>
          </cell>
          <cell r="BE66">
            <v>130000</v>
          </cell>
          <cell r="BF66">
            <v>12746.454545454546</v>
          </cell>
          <cell r="BG66">
            <v>0.18099999999999999</v>
          </cell>
          <cell r="BH66">
            <v>42500</v>
          </cell>
          <cell r="BI66">
            <v>3.3342605073781657</v>
          </cell>
          <cell r="BJ66">
            <v>7692.5</v>
          </cell>
          <cell r="BK66">
            <v>46201.005563044266</v>
          </cell>
          <cell r="BL66">
            <v>20.005563044268996</v>
          </cell>
          <cell r="BM66" t="str">
            <v>0</v>
          </cell>
          <cell r="BN66">
            <v>17500</v>
          </cell>
          <cell r="BO66">
            <v>15456</v>
          </cell>
          <cell r="BP66">
            <v>12576</v>
          </cell>
          <cell r="BQ66">
            <v>10085</v>
          </cell>
          <cell r="BR66">
            <v>7315</v>
          </cell>
          <cell r="BS66">
            <v>4976</v>
          </cell>
          <cell r="BT66">
            <v>2303</v>
          </cell>
          <cell r="BU66">
            <v>-54</v>
          </cell>
          <cell r="BV66">
            <v>-2842</v>
          </cell>
          <cell r="BW66">
            <v>-5467</v>
          </cell>
          <cell r="BX66" t="str">
            <v>2GCH-19E750-CA</v>
          </cell>
          <cell r="BY66" t="str">
            <v>EA</v>
          </cell>
        </row>
        <row r="67">
          <cell r="C67" t="str">
            <v>FC1A3F2S6S01</v>
          </cell>
          <cell r="D67">
            <v>400</v>
          </cell>
          <cell r="E67" t="str">
            <v>SLV ABRAS BRD MONOFI D13_T0.8_L0650</v>
          </cell>
          <cell r="F67">
            <v>0</v>
          </cell>
          <cell r="G67">
            <v>1200</v>
          </cell>
          <cell r="I67">
            <v>0</v>
          </cell>
          <cell r="M67">
            <v>167</v>
          </cell>
          <cell r="N67">
            <v>833</v>
          </cell>
          <cell r="O67">
            <v>0</v>
          </cell>
          <cell r="Q67">
            <v>400</v>
          </cell>
          <cell r="R67">
            <v>3600</v>
          </cell>
          <cell r="S67">
            <v>0</v>
          </cell>
          <cell r="T67">
            <v>0</v>
          </cell>
          <cell r="U67">
            <v>858</v>
          </cell>
          <cell r="V67">
            <v>780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1014</v>
          </cell>
          <cell r="AC67">
            <v>0</v>
          </cell>
          <cell r="AD67">
            <v>780</v>
          </cell>
          <cell r="AE67">
            <v>0</v>
          </cell>
          <cell r="AF67">
            <v>0</v>
          </cell>
          <cell r="AG67">
            <v>0</v>
          </cell>
          <cell r="AH67">
            <v>1638</v>
          </cell>
          <cell r="AI67">
            <v>1794</v>
          </cell>
          <cell r="AJ67">
            <v>1014</v>
          </cell>
          <cell r="AK67">
            <v>1794</v>
          </cell>
          <cell r="AL67">
            <v>1014</v>
          </cell>
          <cell r="AM67">
            <v>1014</v>
          </cell>
          <cell r="AN67">
            <v>1797</v>
          </cell>
          <cell r="AO67">
            <v>1794</v>
          </cell>
          <cell r="AP67">
            <v>1014</v>
          </cell>
          <cell r="AQ67">
            <v>1014</v>
          </cell>
          <cell r="AR67">
            <v>1248</v>
          </cell>
          <cell r="AS67">
            <v>1170</v>
          </cell>
          <cell r="AT67">
            <v>1806</v>
          </cell>
          <cell r="AW67">
            <v>5100005155</v>
          </cell>
          <cell r="AX67" t="str">
            <v xml:space="preserve">FEDERAL-MOGUL POWERTRAIN- Qro </v>
          </cell>
          <cell r="AY67" t="str">
            <v xml:space="preserve">US </v>
          </cell>
          <cell r="AZ67">
            <v>9</v>
          </cell>
          <cell r="BB67" t="str">
            <v>AADTD</v>
          </cell>
          <cell r="BC67" t="str">
            <v>AADTD-06.08.2026-(21B3)-JHUB</v>
          </cell>
          <cell r="BD67">
            <v>800</v>
          </cell>
          <cell r="BE67">
            <v>1000</v>
          </cell>
          <cell r="BF67">
            <v>1375.909090909091</v>
          </cell>
          <cell r="BG67">
            <v>0.40460000000000002</v>
          </cell>
          <cell r="BH67">
            <v>4800</v>
          </cell>
          <cell r="BI67">
            <v>3.4886025768087214</v>
          </cell>
          <cell r="BJ67">
            <v>1942.0800000000002</v>
          </cell>
          <cell r="BK67">
            <v>46201.931615460853</v>
          </cell>
          <cell r="BL67">
            <v>20.931615460852328</v>
          </cell>
          <cell r="BM67" t="str">
            <v>0</v>
          </cell>
          <cell r="BN67">
            <v>3600</v>
          </cell>
          <cell r="BO67">
            <v>3600</v>
          </cell>
          <cell r="BP67">
            <v>2742</v>
          </cell>
          <cell r="BQ67">
            <v>1962</v>
          </cell>
          <cell r="BR67">
            <v>1962</v>
          </cell>
          <cell r="BS67">
            <v>1962</v>
          </cell>
          <cell r="BT67">
            <v>1962</v>
          </cell>
          <cell r="BU67">
            <v>948</v>
          </cell>
          <cell r="BV67">
            <v>948</v>
          </cell>
          <cell r="BW67">
            <v>168</v>
          </cell>
          <cell r="BX67" t="str">
            <v>FC1A3F2S6S01</v>
          </cell>
          <cell r="BY67" t="str">
            <v>EA</v>
          </cell>
        </row>
        <row r="68">
          <cell r="C68" t="str">
            <v>FC2B1F2SMO01</v>
          </cell>
          <cell r="D68">
            <v>125</v>
          </cell>
          <cell r="E68" t="str">
            <v>BRKT/CLIP-A/C LINE</v>
          </cell>
          <cell r="F68">
            <v>0</v>
          </cell>
          <cell r="G68">
            <v>24125</v>
          </cell>
          <cell r="I68">
            <v>0</v>
          </cell>
          <cell r="M68">
            <v>6921</v>
          </cell>
          <cell r="N68">
            <v>7579</v>
          </cell>
          <cell r="O68">
            <v>0</v>
          </cell>
          <cell r="Q68">
            <v>3000</v>
          </cell>
          <cell r="R68">
            <v>21625</v>
          </cell>
          <cell r="S68">
            <v>0</v>
          </cell>
          <cell r="T68">
            <v>2400</v>
          </cell>
          <cell r="U68">
            <v>2458</v>
          </cell>
          <cell r="V68">
            <v>2460</v>
          </cell>
          <cell r="W68">
            <v>2400</v>
          </cell>
          <cell r="X68">
            <v>2400</v>
          </cell>
          <cell r="Y68">
            <v>0</v>
          </cell>
          <cell r="Z68">
            <v>0</v>
          </cell>
          <cell r="AA68">
            <v>2460</v>
          </cell>
          <cell r="AB68">
            <v>2414</v>
          </cell>
          <cell r="AC68">
            <v>2485</v>
          </cell>
          <cell r="AD68">
            <v>2580</v>
          </cell>
          <cell r="AE68">
            <v>2400</v>
          </cell>
          <cell r="AF68">
            <v>0</v>
          </cell>
          <cell r="AG68">
            <v>0</v>
          </cell>
          <cell r="AH68">
            <v>12118</v>
          </cell>
          <cell r="AI68">
            <v>12339</v>
          </cell>
          <cell r="AJ68">
            <v>11963</v>
          </cell>
          <cell r="AK68">
            <v>12154</v>
          </cell>
          <cell r="AL68">
            <v>12174</v>
          </cell>
          <cell r="AM68">
            <v>12096</v>
          </cell>
          <cell r="AN68">
            <v>12084</v>
          </cell>
          <cell r="AO68">
            <v>12137</v>
          </cell>
          <cell r="AP68">
            <v>12056</v>
          </cell>
          <cell r="AQ68">
            <v>12107</v>
          </cell>
          <cell r="AR68">
            <v>12121</v>
          </cell>
          <cell r="AS68">
            <v>12160</v>
          </cell>
          <cell r="AT68">
            <v>9286</v>
          </cell>
          <cell r="AW68">
            <v>5100001774</v>
          </cell>
          <cell r="AX68" t="str">
            <v>PRECISE TOOL &amp; DIE LIMIT</v>
          </cell>
          <cell r="AY68" t="str">
            <v xml:space="preserve">CA </v>
          </cell>
          <cell r="AZ68">
            <v>11</v>
          </cell>
          <cell r="BB68" t="str">
            <v>AADTD</v>
          </cell>
          <cell r="BC68" t="str">
            <v>AADTD-06.08.2026-(21B3)-JHUB</v>
          </cell>
          <cell r="BE68">
            <v>14500</v>
          </cell>
          <cell r="BF68">
            <v>12122.636363636364</v>
          </cell>
          <cell r="BG68">
            <v>0.58979999999999999</v>
          </cell>
          <cell r="BH68">
            <v>45750</v>
          </cell>
          <cell r="BI68">
            <v>3.7739315630413426</v>
          </cell>
          <cell r="BJ68">
            <v>26983.35</v>
          </cell>
          <cell r="BK68">
            <v>46203.643589378247</v>
          </cell>
          <cell r="BL68">
            <v>22.643589378248056</v>
          </cell>
          <cell r="BM68" t="str">
            <v>0</v>
          </cell>
          <cell r="BN68">
            <v>21625</v>
          </cell>
          <cell r="BO68">
            <v>19225</v>
          </cell>
          <cell r="BP68">
            <v>16767</v>
          </cell>
          <cell r="BQ68">
            <v>14307</v>
          </cell>
          <cell r="BR68">
            <v>11907</v>
          </cell>
          <cell r="BS68">
            <v>9507</v>
          </cell>
          <cell r="BT68">
            <v>7047</v>
          </cell>
          <cell r="BU68">
            <v>4633</v>
          </cell>
          <cell r="BV68">
            <v>2148</v>
          </cell>
          <cell r="BW68">
            <v>-432</v>
          </cell>
          <cell r="BX68" t="str">
            <v>FC2B1F2SMO01</v>
          </cell>
          <cell r="BY68" t="str">
            <v>EA</v>
          </cell>
        </row>
        <row r="69">
          <cell r="C69" t="str">
            <v>W525100-S437</v>
          </cell>
          <cell r="D69">
            <v>10000</v>
          </cell>
          <cell r="E69" t="str">
            <v>RIVET BLIND 3.2X6.5 STL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5608</v>
          </cell>
          <cell r="N69">
            <v>94392</v>
          </cell>
          <cell r="O69">
            <v>0</v>
          </cell>
          <cell r="P69">
            <v>198.608</v>
          </cell>
          <cell r="Q69">
            <v>0</v>
          </cell>
          <cell r="R69">
            <v>149000</v>
          </cell>
          <cell r="S69">
            <v>2603</v>
          </cell>
          <cell r="T69">
            <v>7560</v>
          </cell>
          <cell r="U69">
            <v>5648</v>
          </cell>
          <cell r="V69">
            <v>8026</v>
          </cell>
          <cell r="W69">
            <v>7204</v>
          </cell>
          <cell r="X69">
            <v>8413</v>
          </cell>
          <cell r="Y69">
            <v>0</v>
          </cell>
          <cell r="Z69">
            <v>0</v>
          </cell>
          <cell r="AA69">
            <v>7588</v>
          </cell>
          <cell r="AB69">
            <v>7467</v>
          </cell>
          <cell r="AC69">
            <v>8069</v>
          </cell>
          <cell r="AD69">
            <v>7174</v>
          </cell>
          <cell r="AE69">
            <v>8499</v>
          </cell>
          <cell r="AF69">
            <v>0</v>
          </cell>
          <cell r="AG69">
            <v>0</v>
          </cell>
          <cell r="AH69">
            <v>36851</v>
          </cell>
          <cell r="AI69">
            <v>38797</v>
          </cell>
          <cell r="AJ69">
            <v>40497</v>
          </cell>
          <cell r="AK69">
            <v>40030</v>
          </cell>
          <cell r="AL69">
            <v>40829</v>
          </cell>
          <cell r="AM69">
            <v>37342</v>
          </cell>
          <cell r="AN69">
            <v>38412</v>
          </cell>
          <cell r="AO69">
            <v>38110</v>
          </cell>
          <cell r="AP69">
            <v>39205</v>
          </cell>
          <cell r="AQ69">
            <v>39280</v>
          </cell>
          <cell r="AR69">
            <v>40172</v>
          </cell>
          <cell r="AS69">
            <v>39006</v>
          </cell>
          <cell r="AT69">
            <v>110203</v>
          </cell>
          <cell r="AW69">
            <v>5100002936</v>
          </cell>
          <cell r="AX69" t="str">
            <v>EMHART TEKNOLOGIES LLC</v>
          </cell>
          <cell r="AY69" t="str">
            <v xml:space="preserve">ES </v>
          </cell>
          <cell r="AZ69">
            <v>7.4285714285714288</v>
          </cell>
          <cell r="BB69" t="str">
            <v>AADTD</v>
          </cell>
          <cell r="BC69" t="str">
            <v>AADTD-06.08.2026-(21B3)-EPDC</v>
          </cell>
          <cell r="BE69">
            <v>100000</v>
          </cell>
          <cell r="BF69">
            <v>39047.727272727272</v>
          </cell>
          <cell r="BG69">
            <v>2.3620000000000002E-2</v>
          </cell>
          <cell r="BH69">
            <v>149000</v>
          </cell>
          <cell r="BI69">
            <v>3.8158430824748271</v>
          </cell>
          <cell r="BJ69">
            <v>3519.38</v>
          </cell>
          <cell r="BK69">
            <v>46203.895058494847</v>
          </cell>
          <cell r="BL69">
            <v>22.895058494848961</v>
          </cell>
          <cell r="BM69" t="str">
            <v>0</v>
          </cell>
          <cell r="BN69">
            <v>149000</v>
          </cell>
          <cell r="BO69">
            <v>141440</v>
          </cell>
          <cell r="BP69">
            <v>135792</v>
          </cell>
          <cell r="BQ69">
            <v>127766</v>
          </cell>
          <cell r="BR69">
            <v>120562</v>
          </cell>
          <cell r="BS69">
            <v>112149</v>
          </cell>
          <cell r="BT69">
            <v>104561</v>
          </cell>
          <cell r="BU69">
            <v>97094</v>
          </cell>
          <cell r="BV69">
            <v>89025</v>
          </cell>
          <cell r="BW69">
            <v>81851</v>
          </cell>
          <cell r="BX69" t="str">
            <v>W525100-S437</v>
          </cell>
          <cell r="BY69" t="str">
            <v>EA</v>
          </cell>
        </row>
        <row r="70">
          <cell r="C70" t="str">
            <v>VPGV6H-048B60-EA</v>
          </cell>
          <cell r="D70">
            <v>2000</v>
          </cell>
          <cell r="E70" t="str">
            <v>Label - A/C 3M 7874 Orange (PANTONE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46799</v>
          </cell>
          <cell r="N70">
            <v>73201</v>
          </cell>
          <cell r="O70">
            <v>0</v>
          </cell>
          <cell r="P70">
            <v>134799</v>
          </cell>
          <cell r="Q70">
            <v>60000</v>
          </cell>
          <cell r="R70">
            <v>206000</v>
          </cell>
          <cell r="S70">
            <v>2741</v>
          </cell>
          <cell r="T70">
            <v>4672</v>
          </cell>
          <cell r="U70">
            <v>4038</v>
          </cell>
          <cell r="V70">
            <v>3647</v>
          </cell>
          <cell r="W70">
            <v>4318</v>
          </cell>
          <cell r="X70">
            <v>3859</v>
          </cell>
          <cell r="Y70">
            <v>0</v>
          </cell>
          <cell r="Z70">
            <v>0</v>
          </cell>
          <cell r="AA70">
            <v>3562</v>
          </cell>
          <cell r="AB70">
            <v>3793</v>
          </cell>
          <cell r="AC70">
            <v>4581</v>
          </cell>
          <cell r="AD70">
            <v>3380</v>
          </cell>
          <cell r="AE70">
            <v>4698</v>
          </cell>
          <cell r="AF70">
            <v>0</v>
          </cell>
          <cell r="AG70">
            <v>0</v>
          </cell>
          <cell r="AH70">
            <v>20534</v>
          </cell>
          <cell r="AI70">
            <v>20014</v>
          </cell>
          <cell r="AJ70">
            <v>19165</v>
          </cell>
          <cell r="AK70">
            <v>20477</v>
          </cell>
          <cell r="AL70">
            <v>20552</v>
          </cell>
          <cell r="AM70">
            <v>20918</v>
          </cell>
          <cell r="AN70">
            <v>20464</v>
          </cell>
          <cell r="AO70">
            <v>20860</v>
          </cell>
          <cell r="AP70">
            <v>19500</v>
          </cell>
          <cell r="AQ70">
            <v>20021</v>
          </cell>
          <cell r="AR70">
            <v>20158</v>
          </cell>
          <cell r="AS70">
            <v>20396</v>
          </cell>
          <cell r="AT70">
            <v>185986</v>
          </cell>
          <cell r="AW70">
            <v>5100001743</v>
          </cell>
          <cell r="AX70" t="str">
            <v>GENERAL LABELS AND PRINT</v>
          </cell>
          <cell r="AY70" t="str">
            <v xml:space="preserve">US </v>
          </cell>
          <cell r="AZ70">
            <v>9</v>
          </cell>
          <cell r="BB70" t="str">
            <v>AADTD</v>
          </cell>
          <cell r="BC70" t="str">
            <v>AADTD-06.08.2026-(21B3)-EPDC</v>
          </cell>
          <cell r="BE70">
            <v>120000</v>
          </cell>
          <cell r="BF70">
            <v>20242.090909090908</v>
          </cell>
          <cell r="BG70">
            <v>5.4380000000000005E-2</v>
          </cell>
          <cell r="BH70">
            <v>206000</v>
          </cell>
          <cell r="BI70">
            <v>10.176814288858051</v>
          </cell>
          <cell r="BJ70">
            <v>11202.28</v>
          </cell>
          <cell r="BK70">
            <v>46242.060885733146</v>
          </cell>
          <cell r="BL70">
            <v>61.060885733148304</v>
          </cell>
          <cell r="BM70">
            <v>60000</v>
          </cell>
          <cell r="BN70">
            <v>206000</v>
          </cell>
          <cell r="BO70">
            <v>201328</v>
          </cell>
          <cell r="BP70">
            <v>197290</v>
          </cell>
          <cell r="BQ70">
            <v>193643</v>
          </cell>
          <cell r="BR70">
            <v>189325</v>
          </cell>
          <cell r="BS70">
            <v>185466</v>
          </cell>
          <cell r="BT70">
            <v>181904</v>
          </cell>
          <cell r="BU70">
            <v>178111</v>
          </cell>
          <cell r="BV70">
            <v>173530</v>
          </cell>
          <cell r="BW70">
            <v>170150</v>
          </cell>
          <cell r="BY70" t="str">
            <v>EA</v>
          </cell>
        </row>
        <row r="71">
          <cell r="C71" t="str">
            <v>2GCH-19E750-DA</v>
          </cell>
          <cell r="D71">
            <v>10000</v>
          </cell>
          <cell r="E71" t="str">
            <v>Gasket-A/C Tube Bracket 3/8" EPDM SSL</v>
          </cell>
          <cell r="F71">
            <v>0</v>
          </cell>
          <cell r="G71">
            <v>30000</v>
          </cell>
          <cell r="I71">
            <v>0</v>
          </cell>
          <cell r="M71">
            <v>-2165</v>
          </cell>
          <cell r="N71">
            <v>52165</v>
          </cell>
          <cell r="O71">
            <v>0</v>
          </cell>
          <cell r="Q71">
            <v>10000</v>
          </cell>
          <cell r="R71">
            <v>20500</v>
          </cell>
          <cell r="S71">
            <v>2992</v>
          </cell>
          <cell r="T71">
            <v>2044</v>
          </cell>
          <cell r="U71">
            <v>2880</v>
          </cell>
          <cell r="V71">
            <v>2491</v>
          </cell>
          <cell r="W71">
            <v>2770</v>
          </cell>
          <cell r="X71">
            <v>2345</v>
          </cell>
          <cell r="Y71">
            <v>0</v>
          </cell>
          <cell r="Z71">
            <v>0</v>
          </cell>
          <cell r="AA71">
            <v>2673</v>
          </cell>
          <cell r="AB71">
            <v>2357</v>
          </cell>
          <cell r="AC71">
            <v>2788</v>
          </cell>
          <cell r="AD71">
            <v>2618</v>
          </cell>
          <cell r="AE71">
            <v>2494</v>
          </cell>
          <cell r="AF71">
            <v>0</v>
          </cell>
          <cell r="AG71">
            <v>0</v>
          </cell>
          <cell r="AH71">
            <v>12530</v>
          </cell>
          <cell r="AI71">
            <v>12930</v>
          </cell>
          <cell r="AJ71">
            <v>12381</v>
          </cell>
          <cell r="AK71">
            <v>12998</v>
          </cell>
          <cell r="AL71">
            <v>12342</v>
          </cell>
          <cell r="AM71">
            <v>12913</v>
          </cell>
          <cell r="AN71">
            <v>12718</v>
          </cell>
          <cell r="AO71">
            <v>12658</v>
          </cell>
          <cell r="AP71">
            <v>12473</v>
          </cell>
          <cell r="AQ71">
            <v>13090</v>
          </cell>
          <cell r="AR71">
            <v>13219</v>
          </cell>
          <cell r="AS71">
            <v>12810</v>
          </cell>
          <cell r="AT71">
            <v>7570</v>
          </cell>
          <cell r="AW71">
            <v>5100001846</v>
          </cell>
          <cell r="AX71" t="str">
            <v>PARKER HANNIFIN CORPORAT</v>
          </cell>
          <cell r="AY71" t="str">
            <v xml:space="preserve">US </v>
          </cell>
          <cell r="AZ71">
            <v>9</v>
          </cell>
          <cell r="BB71" t="str">
            <v>AADTD</v>
          </cell>
          <cell r="BC71" t="str">
            <v>AADTD-06.08.2026-(21B3)-JHUB</v>
          </cell>
          <cell r="BD71">
            <v>20000</v>
          </cell>
          <cell r="BE71">
            <v>50000</v>
          </cell>
          <cell r="BF71">
            <v>12750.181818181818</v>
          </cell>
          <cell r="BG71">
            <v>0.1351</v>
          </cell>
          <cell r="BH71">
            <v>50500</v>
          </cell>
          <cell r="BI71">
            <v>3.9607278327581783</v>
          </cell>
          <cell r="BJ71">
            <v>6822.55</v>
          </cell>
          <cell r="BK71">
            <v>46204.764366996547</v>
          </cell>
          <cell r="BL71">
            <v>23.764366996549072</v>
          </cell>
          <cell r="BM71" t="str">
            <v>0</v>
          </cell>
          <cell r="BN71">
            <v>20500</v>
          </cell>
          <cell r="BO71">
            <v>18456</v>
          </cell>
          <cell r="BP71">
            <v>15576</v>
          </cell>
          <cell r="BQ71">
            <v>13085</v>
          </cell>
          <cell r="BR71">
            <v>10315</v>
          </cell>
          <cell r="BS71">
            <v>7970</v>
          </cell>
          <cell r="BT71">
            <v>5297</v>
          </cell>
          <cell r="BU71">
            <v>2940</v>
          </cell>
          <cell r="BV71">
            <v>152</v>
          </cell>
          <cell r="BW71">
            <v>-2466</v>
          </cell>
          <cell r="BX71" t="str">
            <v>2GCH-19E750-DA</v>
          </cell>
          <cell r="BY71" t="str">
            <v>EA</v>
          </cell>
        </row>
        <row r="72">
          <cell r="C72" t="str">
            <v>VP9L3H-19E778-CA</v>
          </cell>
          <cell r="D72">
            <v>1000</v>
          </cell>
          <cell r="E72" t="str">
            <v>SHP'G/CAP-DSL/M 5/8 MALE  DSL CAP</v>
          </cell>
          <cell r="F72">
            <v>0</v>
          </cell>
          <cell r="G72">
            <v>9000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-2668</v>
          </cell>
          <cell r="N72">
            <v>20668</v>
          </cell>
          <cell r="O72">
            <v>0</v>
          </cell>
          <cell r="P72">
            <v>35332</v>
          </cell>
          <cell r="Q72">
            <v>27000</v>
          </cell>
          <cell r="R72">
            <v>45000</v>
          </cell>
          <cell r="S72">
            <v>151</v>
          </cell>
          <cell r="T72">
            <v>1836</v>
          </cell>
          <cell r="U72">
            <v>2233</v>
          </cell>
          <cell r="V72">
            <v>2505</v>
          </cell>
          <cell r="W72">
            <v>3468</v>
          </cell>
          <cell r="X72">
            <v>2590</v>
          </cell>
          <cell r="Y72">
            <v>0</v>
          </cell>
          <cell r="Z72">
            <v>0</v>
          </cell>
          <cell r="AA72">
            <v>2856</v>
          </cell>
          <cell r="AB72">
            <v>1800</v>
          </cell>
          <cell r="AC72">
            <v>2803</v>
          </cell>
          <cell r="AD72">
            <v>3390</v>
          </cell>
          <cell r="AE72">
            <v>1447</v>
          </cell>
          <cell r="AF72">
            <v>0</v>
          </cell>
          <cell r="AG72">
            <v>0</v>
          </cell>
          <cell r="AH72">
            <v>12632</v>
          </cell>
          <cell r="AI72">
            <v>12296</v>
          </cell>
          <cell r="AJ72">
            <v>13522</v>
          </cell>
          <cell r="AK72">
            <v>14062</v>
          </cell>
          <cell r="AL72">
            <v>13868</v>
          </cell>
          <cell r="AM72">
            <v>13298</v>
          </cell>
          <cell r="AN72">
            <v>13607</v>
          </cell>
          <cell r="AO72">
            <v>14181</v>
          </cell>
          <cell r="AP72">
            <v>15184</v>
          </cell>
          <cell r="AQ72">
            <v>13884</v>
          </cell>
          <cell r="AR72">
            <v>14038</v>
          </cell>
          <cell r="AS72">
            <v>14702</v>
          </cell>
          <cell r="AT72">
            <v>32704</v>
          </cell>
          <cell r="AW72">
            <v>5100002097</v>
          </cell>
          <cell r="AX72" t="str">
            <v>POLYMER MOLDING INC</v>
          </cell>
          <cell r="AY72" t="str">
            <v xml:space="preserve">US </v>
          </cell>
          <cell r="AZ72">
            <v>9</v>
          </cell>
          <cell r="BB72" t="str">
            <v>AADTD</v>
          </cell>
          <cell r="BC72" t="str">
            <v>AADTD-06.08.2026-(21B3)-JHUB</v>
          </cell>
          <cell r="BE72">
            <v>18000</v>
          </cell>
          <cell r="BF72">
            <v>13688.363636363636</v>
          </cell>
          <cell r="BG72">
            <v>3.0199999999999998E-2</v>
          </cell>
          <cell r="BH72">
            <v>54000</v>
          </cell>
          <cell r="BI72">
            <v>3.9449565656297318</v>
          </cell>
          <cell r="BJ72">
            <v>1630.8</v>
          </cell>
          <cell r="BK72">
            <v>46204.669739393779</v>
          </cell>
          <cell r="BL72">
            <v>23.669739393778393</v>
          </cell>
          <cell r="BM72" t="str">
            <v>0</v>
          </cell>
          <cell r="BN72">
            <v>45000</v>
          </cell>
          <cell r="BO72">
            <v>43164</v>
          </cell>
          <cell r="BP72">
            <v>40931</v>
          </cell>
          <cell r="BQ72">
            <v>38426</v>
          </cell>
          <cell r="BR72">
            <v>34958</v>
          </cell>
          <cell r="BS72">
            <v>32368</v>
          </cell>
          <cell r="BT72">
            <v>29512</v>
          </cell>
          <cell r="BU72">
            <v>27712</v>
          </cell>
          <cell r="BV72">
            <v>24909</v>
          </cell>
          <cell r="BW72">
            <v>21519</v>
          </cell>
          <cell r="BX72" t="str">
            <v>VP9L3H-19E778-CA</v>
          </cell>
          <cell r="BY72" t="str">
            <v>EA</v>
          </cell>
        </row>
        <row r="73">
          <cell r="C73" t="str">
            <v>FC1B1F2S1G01</v>
          </cell>
          <cell r="D73">
            <v>1500</v>
          </cell>
          <cell r="E73" t="str">
            <v>SLV HT ALU FOIL FBRGLS</v>
          </cell>
          <cell r="F73">
            <v>0</v>
          </cell>
          <cell r="G73">
            <v>22800</v>
          </cell>
          <cell r="I73">
            <v>0</v>
          </cell>
          <cell r="M73">
            <v>12832</v>
          </cell>
          <cell r="N73">
            <v>20668</v>
          </cell>
          <cell r="O73">
            <v>0</v>
          </cell>
          <cell r="Q73">
            <v>13800</v>
          </cell>
          <cell r="R73">
            <v>69000</v>
          </cell>
          <cell r="S73">
            <v>0</v>
          </cell>
          <cell r="T73">
            <v>1936</v>
          </cell>
          <cell r="U73">
            <v>2944</v>
          </cell>
          <cell r="V73">
            <v>2944</v>
          </cell>
          <cell r="W73">
            <v>2944</v>
          </cell>
          <cell r="X73">
            <v>2944</v>
          </cell>
          <cell r="Y73">
            <v>0</v>
          </cell>
          <cell r="Z73">
            <v>0</v>
          </cell>
          <cell r="AA73">
            <v>2944</v>
          </cell>
          <cell r="AB73">
            <v>2944</v>
          </cell>
          <cell r="AC73">
            <v>2944</v>
          </cell>
          <cell r="AD73">
            <v>2944</v>
          </cell>
          <cell r="AE73">
            <v>2944</v>
          </cell>
          <cell r="AF73">
            <v>0</v>
          </cell>
          <cell r="AG73">
            <v>0</v>
          </cell>
          <cell r="AH73">
            <v>13712</v>
          </cell>
          <cell r="AI73">
            <v>14720</v>
          </cell>
          <cell r="AJ73">
            <v>14720</v>
          </cell>
          <cell r="AK73">
            <v>14720</v>
          </cell>
          <cell r="AL73">
            <v>14720</v>
          </cell>
          <cell r="AM73">
            <v>15080</v>
          </cell>
          <cell r="AN73">
            <v>15080</v>
          </cell>
          <cell r="AO73">
            <v>15080</v>
          </cell>
          <cell r="AP73">
            <v>15080</v>
          </cell>
          <cell r="AQ73">
            <v>15080</v>
          </cell>
          <cell r="AR73">
            <v>15080</v>
          </cell>
          <cell r="AS73">
            <v>16288</v>
          </cell>
          <cell r="AT73">
            <v>54280</v>
          </cell>
          <cell r="AW73">
            <v>5100001898</v>
          </cell>
          <cell r="AX73" t="str">
            <v>FEDERAL-MOGUL POWERTRAIN</v>
          </cell>
          <cell r="AY73" t="str">
            <v xml:space="preserve">US </v>
          </cell>
          <cell r="AZ73">
            <v>9</v>
          </cell>
          <cell r="BB73" t="str">
            <v>AADTD</v>
          </cell>
          <cell r="BC73" t="str">
            <v>AADTD-06.08.2026-(21B3)-JHUB</v>
          </cell>
          <cell r="BD73">
            <v>10500</v>
          </cell>
          <cell r="BE73">
            <v>33500</v>
          </cell>
          <cell r="BF73">
            <v>14824.727272727272</v>
          </cell>
          <cell r="BG73">
            <v>0.23519999999999999</v>
          </cell>
          <cell r="BH73">
            <v>91800</v>
          </cell>
          <cell r="BI73">
            <v>6.1923567503924648</v>
          </cell>
          <cell r="BJ73">
            <v>21591.360000000001</v>
          </cell>
          <cell r="BK73">
            <v>46218.154140502353</v>
          </cell>
          <cell r="BL73">
            <v>37.154140502354792</v>
          </cell>
          <cell r="BM73">
            <v>15000</v>
          </cell>
          <cell r="BN73">
            <v>69000</v>
          </cell>
          <cell r="BO73">
            <v>67064</v>
          </cell>
          <cell r="BP73">
            <v>64120</v>
          </cell>
          <cell r="BQ73">
            <v>61176</v>
          </cell>
          <cell r="BR73">
            <v>58232</v>
          </cell>
          <cell r="BS73">
            <v>55288</v>
          </cell>
          <cell r="BT73">
            <v>52344</v>
          </cell>
          <cell r="BU73">
            <v>49400</v>
          </cell>
          <cell r="BV73">
            <v>46456</v>
          </cell>
          <cell r="BW73">
            <v>43512</v>
          </cell>
          <cell r="BX73" t="str">
            <v>FC1B1F2S1G01</v>
          </cell>
          <cell r="BY73" t="str">
            <v>EA</v>
          </cell>
        </row>
        <row r="74">
          <cell r="C74" t="str">
            <v>VP9ASH-19E778-KA</v>
          </cell>
          <cell r="D74">
            <v>3000</v>
          </cell>
          <cell r="E74" t="str">
            <v>CAP-19MM CAPO FLANGE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2159</v>
          </cell>
          <cell r="N74">
            <v>5941</v>
          </cell>
          <cell r="O74">
            <v>0</v>
          </cell>
          <cell r="P74">
            <v>5.6589999999999998</v>
          </cell>
          <cell r="Q74">
            <v>0</v>
          </cell>
          <cell r="R74">
            <v>3500</v>
          </cell>
          <cell r="S74">
            <v>0</v>
          </cell>
          <cell r="T74">
            <v>180</v>
          </cell>
          <cell r="U74">
            <v>180</v>
          </cell>
          <cell r="V74">
            <v>180</v>
          </cell>
          <cell r="W74">
            <v>180</v>
          </cell>
          <cell r="X74">
            <v>180</v>
          </cell>
          <cell r="Y74">
            <v>0</v>
          </cell>
          <cell r="Z74">
            <v>0</v>
          </cell>
          <cell r="AA74">
            <v>180</v>
          </cell>
          <cell r="AB74">
            <v>180</v>
          </cell>
          <cell r="AC74">
            <v>0.18</v>
          </cell>
          <cell r="AD74">
            <v>0.18</v>
          </cell>
          <cell r="AE74">
            <v>0.18</v>
          </cell>
          <cell r="AF74">
            <v>0</v>
          </cell>
          <cell r="AG74">
            <v>0</v>
          </cell>
          <cell r="AH74">
            <v>900</v>
          </cell>
          <cell r="AI74">
            <v>900</v>
          </cell>
          <cell r="AJ74">
            <v>900</v>
          </cell>
          <cell r="AK74">
            <v>900</v>
          </cell>
          <cell r="AL74">
            <v>850</v>
          </cell>
          <cell r="AM74">
            <v>850</v>
          </cell>
          <cell r="AN74">
            <v>850</v>
          </cell>
          <cell r="AO74">
            <v>850</v>
          </cell>
          <cell r="AP74">
            <v>850</v>
          </cell>
          <cell r="AQ74">
            <v>850</v>
          </cell>
          <cell r="AR74">
            <v>0.85</v>
          </cell>
          <cell r="AS74">
            <v>850</v>
          </cell>
          <cell r="AT74">
            <v>3139.46</v>
          </cell>
          <cell r="AW74">
            <v>5100002703</v>
          </cell>
          <cell r="AX74" t="str">
            <v>Caplugs LLC</v>
          </cell>
          <cell r="AY74" t="str">
            <v xml:space="preserve">US </v>
          </cell>
          <cell r="AZ74">
            <v>9</v>
          </cell>
          <cell r="BB74" t="str">
            <v>AADTD</v>
          </cell>
          <cell r="BC74" t="str">
            <v>AADTD-06.08.2026-(21B3)-EPDC</v>
          </cell>
          <cell r="BE74">
            <v>8100</v>
          </cell>
          <cell r="BF74">
            <v>790.98636363636365</v>
          </cell>
          <cell r="BG74">
            <v>3.5290000000000002E-2</v>
          </cell>
          <cell r="BH74">
            <v>3500</v>
          </cell>
          <cell r="BI74">
            <v>4.4248550428981073</v>
          </cell>
          <cell r="BJ74">
            <v>123.515</v>
          </cell>
          <cell r="BK74">
            <v>46207.549130257386</v>
          </cell>
          <cell r="BL74">
            <v>26.549130257388644</v>
          </cell>
          <cell r="BM74" t="str">
            <v>0</v>
          </cell>
          <cell r="BN74">
            <v>3500</v>
          </cell>
          <cell r="BO74">
            <v>3320</v>
          </cell>
          <cell r="BP74">
            <v>3140</v>
          </cell>
          <cell r="BQ74">
            <v>2960</v>
          </cell>
          <cell r="BR74">
            <v>2780</v>
          </cell>
          <cell r="BS74">
            <v>2600</v>
          </cell>
          <cell r="BT74">
            <v>2420</v>
          </cell>
          <cell r="BU74">
            <v>2240</v>
          </cell>
          <cell r="BV74">
            <v>2239.8200000000002</v>
          </cell>
          <cell r="BW74">
            <v>2239.6400000000003</v>
          </cell>
          <cell r="BX74" t="str">
            <v>VP9ASH-19E778-KA</v>
          </cell>
          <cell r="BY74" t="str">
            <v>EA</v>
          </cell>
        </row>
        <row r="75">
          <cell r="C75" t="str">
            <v>FC2B1F2SNN03</v>
          </cell>
          <cell r="D75">
            <v>200</v>
          </cell>
          <cell r="E75" t="str">
            <v>BRKT/CLIP-A/C LINE</v>
          </cell>
          <cell r="F75">
            <v>0</v>
          </cell>
          <cell r="G75">
            <v>2400</v>
          </cell>
          <cell r="I75">
            <v>0</v>
          </cell>
          <cell r="M75">
            <v>2829</v>
          </cell>
          <cell r="N75">
            <v>1171</v>
          </cell>
          <cell r="O75">
            <v>8</v>
          </cell>
          <cell r="Q75">
            <v>9000</v>
          </cell>
          <cell r="R75">
            <v>14800</v>
          </cell>
          <cell r="S75">
            <v>0</v>
          </cell>
          <cell r="T75">
            <v>840</v>
          </cell>
          <cell r="U75">
            <v>840</v>
          </cell>
          <cell r="V75">
            <v>840</v>
          </cell>
          <cell r="W75">
            <v>840</v>
          </cell>
          <cell r="X75">
            <v>840</v>
          </cell>
          <cell r="Y75">
            <v>0</v>
          </cell>
          <cell r="Z75">
            <v>0</v>
          </cell>
          <cell r="AA75">
            <v>840</v>
          </cell>
          <cell r="AB75">
            <v>840</v>
          </cell>
          <cell r="AC75">
            <v>936</v>
          </cell>
          <cell r="AD75">
            <v>840</v>
          </cell>
          <cell r="AE75">
            <v>840</v>
          </cell>
          <cell r="AF75">
            <v>0</v>
          </cell>
          <cell r="AG75">
            <v>0</v>
          </cell>
          <cell r="AH75">
            <v>4200</v>
          </cell>
          <cell r="AI75">
            <v>4296</v>
          </cell>
          <cell r="AJ75">
            <v>4488</v>
          </cell>
          <cell r="AK75">
            <v>4392</v>
          </cell>
          <cell r="AL75">
            <v>3996</v>
          </cell>
          <cell r="AM75">
            <v>3648</v>
          </cell>
          <cell r="AN75">
            <v>3456</v>
          </cell>
          <cell r="AO75">
            <v>3456</v>
          </cell>
          <cell r="AP75">
            <v>3552</v>
          </cell>
          <cell r="AQ75">
            <v>3552</v>
          </cell>
          <cell r="AR75">
            <v>3456</v>
          </cell>
          <cell r="AS75">
            <v>3456</v>
          </cell>
          <cell r="AT75">
            <v>10504</v>
          </cell>
          <cell r="AW75">
            <v>5100001909</v>
          </cell>
          <cell r="AX75" t="str">
            <v>ELITE PLASTIC PRODUCTS I</v>
          </cell>
          <cell r="AY75" t="str">
            <v xml:space="preserve">US </v>
          </cell>
          <cell r="AZ75">
            <v>9</v>
          </cell>
          <cell r="BB75" t="str">
            <v>AADTD</v>
          </cell>
          <cell r="BC75" t="str">
            <v>AADTD-06.08.2026-(21B3)-JHUB</v>
          </cell>
          <cell r="BE75">
            <v>4000</v>
          </cell>
          <cell r="BF75">
            <v>3863.909090909091</v>
          </cell>
          <cell r="BG75">
            <v>0.37592000000000003</v>
          </cell>
          <cell r="BH75">
            <v>17208</v>
          </cell>
          <cell r="BI75">
            <v>4.4535209279344983</v>
          </cell>
          <cell r="BJ75">
            <v>6468.8313600000001</v>
          </cell>
          <cell r="BK75">
            <v>46207.721125567608</v>
          </cell>
          <cell r="BL75">
            <v>26.72112556760699</v>
          </cell>
          <cell r="BM75" t="str">
            <v>0</v>
          </cell>
          <cell r="BN75">
            <v>14800</v>
          </cell>
          <cell r="BO75">
            <v>13960</v>
          </cell>
          <cell r="BP75">
            <v>13120</v>
          </cell>
          <cell r="BQ75">
            <v>12280</v>
          </cell>
          <cell r="BR75">
            <v>11440</v>
          </cell>
          <cell r="BS75">
            <v>10600</v>
          </cell>
          <cell r="BT75">
            <v>9760</v>
          </cell>
          <cell r="BU75">
            <v>8920</v>
          </cell>
          <cell r="BV75">
            <v>7984</v>
          </cell>
          <cell r="BW75">
            <v>7144</v>
          </cell>
          <cell r="BX75" t="str">
            <v>FC2B1F2SNN03</v>
          </cell>
          <cell r="BY75" t="str">
            <v>EA</v>
          </cell>
        </row>
        <row r="76">
          <cell r="C76" t="str">
            <v>FC2B1F2SMQ01</v>
          </cell>
          <cell r="D76">
            <v>400</v>
          </cell>
          <cell r="E76" t="str">
            <v>BRKT/CLIP-A/C LINE</v>
          </cell>
          <cell r="F76">
            <v>0</v>
          </cell>
          <cell r="G76">
            <v>9600</v>
          </cell>
          <cell r="I76">
            <v>0</v>
          </cell>
          <cell r="M76">
            <v>3186</v>
          </cell>
          <cell r="N76">
            <v>5514</v>
          </cell>
          <cell r="O76">
            <v>0</v>
          </cell>
          <cell r="Q76">
            <v>4800</v>
          </cell>
          <cell r="R76">
            <v>7600</v>
          </cell>
          <cell r="S76">
            <v>0</v>
          </cell>
          <cell r="T76">
            <v>756</v>
          </cell>
          <cell r="U76">
            <v>648</v>
          </cell>
          <cell r="V76">
            <v>1512</v>
          </cell>
          <cell r="W76">
            <v>972</v>
          </cell>
          <cell r="X76">
            <v>1944</v>
          </cell>
          <cell r="Y76">
            <v>0</v>
          </cell>
          <cell r="Z76">
            <v>0</v>
          </cell>
          <cell r="AA76">
            <v>1080</v>
          </cell>
          <cell r="AB76">
            <v>0</v>
          </cell>
          <cell r="AC76">
            <v>1080</v>
          </cell>
          <cell r="AD76">
            <v>324</v>
          </cell>
          <cell r="AE76">
            <v>1296</v>
          </cell>
          <cell r="AF76">
            <v>0</v>
          </cell>
          <cell r="AG76">
            <v>0</v>
          </cell>
          <cell r="AH76">
            <v>5832</v>
          </cell>
          <cell r="AI76">
            <v>3780</v>
          </cell>
          <cell r="AJ76">
            <v>3780</v>
          </cell>
          <cell r="AK76">
            <v>4536</v>
          </cell>
          <cell r="AL76">
            <v>4428</v>
          </cell>
          <cell r="AM76">
            <v>2916</v>
          </cell>
          <cell r="AN76">
            <v>3456</v>
          </cell>
          <cell r="AO76">
            <v>2592</v>
          </cell>
          <cell r="AP76">
            <v>3672</v>
          </cell>
          <cell r="AQ76">
            <v>4104</v>
          </cell>
          <cell r="AR76">
            <v>5076</v>
          </cell>
          <cell r="AS76">
            <v>3672</v>
          </cell>
          <cell r="AT76">
            <v>3820</v>
          </cell>
          <cell r="AW76">
            <v>5100001774</v>
          </cell>
          <cell r="AX76" t="str">
            <v>PRECISE TOOL &amp; DIE LIMIT</v>
          </cell>
          <cell r="AY76" t="str">
            <v xml:space="preserve">CA </v>
          </cell>
          <cell r="AZ76">
            <v>11</v>
          </cell>
          <cell r="BB76" t="str">
            <v>AADTD</v>
          </cell>
          <cell r="BC76" t="str">
            <v>AADTD-06.08.2026-(21B3)-JHUB</v>
          </cell>
          <cell r="BE76">
            <v>8700</v>
          </cell>
          <cell r="BF76">
            <v>4015.6363636363635</v>
          </cell>
          <cell r="BG76">
            <v>0.71679999999999999</v>
          </cell>
          <cell r="BH76">
            <v>17200</v>
          </cell>
          <cell r="BI76">
            <v>4.2832563614959707</v>
          </cell>
          <cell r="BJ76">
            <v>12328.96</v>
          </cell>
          <cell r="BK76">
            <v>46206.699538168978</v>
          </cell>
          <cell r="BL76">
            <v>25.699538168975824</v>
          </cell>
          <cell r="BM76" t="str">
            <v>0</v>
          </cell>
          <cell r="BN76">
            <v>7600</v>
          </cell>
          <cell r="BO76">
            <v>6844</v>
          </cell>
          <cell r="BP76">
            <v>6196</v>
          </cell>
          <cell r="BQ76">
            <v>4684</v>
          </cell>
          <cell r="BR76">
            <v>3712</v>
          </cell>
          <cell r="BS76">
            <v>1768</v>
          </cell>
          <cell r="BT76">
            <v>688</v>
          </cell>
          <cell r="BU76">
            <v>688</v>
          </cell>
          <cell r="BV76">
            <v>-392</v>
          </cell>
          <cell r="BW76">
            <v>-716</v>
          </cell>
          <cell r="BX76" t="str">
            <v>FC2B1F2SMQ01</v>
          </cell>
          <cell r="BY76" t="str">
            <v>EA</v>
          </cell>
        </row>
        <row r="77">
          <cell r="C77" t="str">
            <v>95874-S</v>
          </cell>
          <cell r="D77">
            <v>5000</v>
          </cell>
          <cell r="E77" t="str">
            <v>TIE STRAP</v>
          </cell>
          <cell r="F77">
            <v>0</v>
          </cell>
          <cell r="G77">
            <v>10000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23562</v>
          </cell>
          <cell r="N77">
            <v>11438</v>
          </cell>
          <cell r="O77">
            <v>0</v>
          </cell>
          <cell r="P77">
            <v>106562</v>
          </cell>
          <cell r="Q77">
            <v>20000</v>
          </cell>
          <cell r="R77">
            <v>105000</v>
          </cell>
          <cell r="S77">
            <v>1</v>
          </cell>
          <cell r="T77">
            <v>2904</v>
          </cell>
          <cell r="U77">
            <v>4416</v>
          </cell>
          <cell r="V77">
            <v>4470</v>
          </cell>
          <cell r="W77">
            <v>4416</v>
          </cell>
          <cell r="X77">
            <v>4420</v>
          </cell>
          <cell r="Y77">
            <v>0</v>
          </cell>
          <cell r="Z77">
            <v>0</v>
          </cell>
          <cell r="AA77">
            <v>4416</v>
          </cell>
          <cell r="AB77">
            <v>4416</v>
          </cell>
          <cell r="AC77">
            <v>4416</v>
          </cell>
          <cell r="AD77">
            <v>4416</v>
          </cell>
          <cell r="AE77">
            <v>4420</v>
          </cell>
          <cell r="AF77">
            <v>0</v>
          </cell>
          <cell r="AG77">
            <v>0</v>
          </cell>
          <cell r="AH77">
            <v>20626</v>
          </cell>
          <cell r="AI77">
            <v>22084</v>
          </cell>
          <cell r="AJ77">
            <v>22080</v>
          </cell>
          <cell r="AK77">
            <v>22119</v>
          </cell>
          <cell r="AL77">
            <v>22110</v>
          </cell>
          <cell r="AM77">
            <v>22674</v>
          </cell>
          <cell r="AN77">
            <v>22620</v>
          </cell>
          <cell r="AO77">
            <v>22656</v>
          </cell>
          <cell r="AP77">
            <v>22620</v>
          </cell>
          <cell r="AQ77">
            <v>22704</v>
          </cell>
          <cell r="AR77">
            <v>22620</v>
          </cell>
          <cell r="AS77">
            <v>24564</v>
          </cell>
          <cell r="AT77">
            <v>82916</v>
          </cell>
          <cell r="AW77">
            <v>5100002153</v>
          </cell>
          <cell r="AX77" t="str">
            <v>EMHART TEKNOLOGIES LLC</v>
          </cell>
          <cell r="AY77" t="str">
            <v xml:space="preserve">US </v>
          </cell>
          <cell r="AZ77">
            <v>9</v>
          </cell>
          <cell r="BB77" t="str">
            <v>AADTD</v>
          </cell>
          <cell r="BC77" t="str">
            <v>AADTD-06.08.2026-(21B3)-JHUB</v>
          </cell>
          <cell r="BE77">
            <v>35000</v>
          </cell>
          <cell r="BF77">
            <v>22265.81818181818</v>
          </cell>
          <cell r="BG77">
            <v>1.6199999999999999E-2</v>
          </cell>
          <cell r="BH77">
            <v>115000</v>
          </cell>
          <cell r="BI77">
            <v>5.1648674690924539</v>
          </cell>
          <cell r="BJ77">
            <v>1863</v>
          </cell>
          <cell r="BK77">
            <v>46211.989204814556</v>
          </cell>
          <cell r="BL77">
            <v>30.989204814554725</v>
          </cell>
          <cell r="BM77" t="str">
            <v>0</v>
          </cell>
          <cell r="BN77">
            <v>105000</v>
          </cell>
          <cell r="BO77">
            <v>102096</v>
          </cell>
          <cell r="BP77">
            <v>97680</v>
          </cell>
          <cell r="BQ77">
            <v>93210</v>
          </cell>
          <cell r="BR77">
            <v>88794</v>
          </cell>
          <cell r="BS77">
            <v>84374</v>
          </cell>
          <cell r="BT77">
            <v>79958</v>
          </cell>
          <cell r="BU77">
            <v>75542</v>
          </cell>
          <cell r="BV77">
            <v>71126</v>
          </cell>
          <cell r="BW77">
            <v>66710</v>
          </cell>
          <cell r="BX77" t="str">
            <v>95874-S</v>
          </cell>
          <cell r="BY77" t="str">
            <v>EA</v>
          </cell>
        </row>
        <row r="78">
          <cell r="C78" t="str">
            <v>VP9GCH-19A593-BC</v>
          </cell>
          <cell r="D78">
            <v>5000</v>
          </cell>
          <cell r="E78" t="str">
            <v>GASKET - A/C LINE SEALIN G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51026</v>
          </cell>
          <cell r="N78">
            <v>-31026</v>
          </cell>
          <cell r="O78">
            <v>50000</v>
          </cell>
          <cell r="P78">
            <v>137026</v>
          </cell>
          <cell r="Q78">
            <v>55000</v>
          </cell>
          <cell r="R78">
            <v>64500</v>
          </cell>
          <cell r="S78">
            <v>1562</v>
          </cell>
          <cell r="T78">
            <v>3740</v>
          </cell>
          <cell r="U78">
            <v>5725</v>
          </cell>
          <cell r="V78">
            <v>5543</v>
          </cell>
          <cell r="W78">
            <v>6108</v>
          </cell>
          <cell r="X78">
            <v>5365</v>
          </cell>
          <cell r="Y78">
            <v>0</v>
          </cell>
          <cell r="Z78">
            <v>0</v>
          </cell>
          <cell r="AA78">
            <v>5244</v>
          </cell>
          <cell r="AB78">
            <v>6278</v>
          </cell>
          <cell r="AC78">
            <v>5475</v>
          </cell>
          <cell r="AD78">
            <v>6215</v>
          </cell>
          <cell r="AE78">
            <v>4894</v>
          </cell>
          <cell r="AF78">
            <v>0</v>
          </cell>
          <cell r="AG78">
            <v>0</v>
          </cell>
          <cell r="AH78">
            <v>26481</v>
          </cell>
          <cell r="AI78">
            <v>28106</v>
          </cell>
          <cell r="AJ78">
            <v>27877</v>
          </cell>
          <cell r="AK78">
            <v>27075</v>
          </cell>
          <cell r="AL78">
            <v>29270</v>
          </cell>
          <cell r="AM78">
            <v>26925</v>
          </cell>
          <cell r="AN78">
            <v>28619</v>
          </cell>
          <cell r="AO78">
            <v>29160</v>
          </cell>
          <cell r="AP78">
            <v>27915</v>
          </cell>
          <cell r="AQ78">
            <v>27606</v>
          </cell>
          <cell r="AR78">
            <v>29176</v>
          </cell>
          <cell r="AS78">
            <v>28892</v>
          </cell>
          <cell r="AT78">
            <v>36394</v>
          </cell>
          <cell r="AW78">
            <v>5100001846</v>
          </cell>
          <cell r="AX78" t="str">
            <v>PARKER HANNIFIN CORPORAT</v>
          </cell>
          <cell r="AY78" t="str">
            <v xml:space="preserve">US </v>
          </cell>
          <cell r="AZ78">
            <v>9</v>
          </cell>
          <cell r="BB78" t="str">
            <v>AADTD</v>
          </cell>
          <cell r="BC78" t="str">
            <v>AADTD-06.08.2026-(21B3)-EPDC</v>
          </cell>
          <cell r="BD78">
            <v>10000</v>
          </cell>
          <cell r="BE78">
            <v>20000</v>
          </cell>
          <cell r="BF78">
            <v>28019.090909090908</v>
          </cell>
          <cell r="BG78">
            <v>0.3256</v>
          </cell>
          <cell r="BH78">
            <v>114500</v>
          </cell>
          <cell r="BI78">
            <v>4.0864994646507249</v>
          </cell>
          <cell r="BJ78">
            <v>37281.199999999997</v>
          </cell>
          <cell r="BK78">
            <v>46205.518996787905</v>
          </cell>
          <cell r="BL78">
            <v>24.518996787904349</v>
          </cell>
          <cell r="BM78" t="str">
            <v>0</v>
          </cell>
          <cell r="BN78">
            <v>64500</v>
          </cell>
          <cell r="BO78">
            <v>60760</v>
          </cell>
          <cell r="BP78">
            <v>55035</v>
          </cell>
          <cell r="BQ78">
            <v>49492</v>
          </cell>
          <cell r="BR78">
            <v>43384</v>
          </cell>
          <cell r="BS78">
            <v>38019</v>
          </cell>
          <cell r="BT78">
            <v>32775</v>
          </cell>
          <cell r="BU78">
            <v>26497</v>
          </cell>
          <cell r="BV78">
            <v>21022</v>
          </cell>
          <cell r="BW78">
            <v>14807</v>
          </cell>
          <cell r="BX78" t="str">
            <v>VP9GCH-19A593-BC</v>
          </cell>
          <cell r="BY78" t="str">
            <v>EA</v>
          </cell>
        </row>
        <row r="79">
          <cell r="C79" t="str">
            <v>FC2B1F2STD02</v>
          </cell>
          <cell r="D79">
            <v>125</v>
          </cell>
          <cell r="E79" t="str">
            <v>BRKT/CLIP-A/C LINE</v>
          </cell>
          <cell r="F79">
            <v>0</v>
          </cell>
          <cell r="G79">
            <v>3500</v>
          </cell>
          <cell r="I79">
            <v>0</v>
          </cell>
          <cell r="M79">
            <v>1227</v>
          </cell>
          <cell r="N79">
            <v>773</v>
          </cell>
          <cell r="O79">
            <v>0</v>
          </cell>
          <cell r="Q79">
            <v>12000</v>
          </cell>
          <cell r="R79">
            <v>3750</v>
          </cell>
          <cell r="S79">
            <v>464</v>
          </cell>
          <cell r="T79">
            <v>910</v>
          </cell>
          <cell r="U79">
            <v>890</v>
          </cell>
          <cell r="V79">
            <v>0</v>
          </cell>
          <cell r="W79">
            <v>406</v>
          </cell>
          <cell r="X79">
            <v>393</v>
          </cell>
          <cell r="Y79">
            <v>0</v>
          </cell>
          <cell r="Z79">
            <v>0</v>
          </cell>
          <cell r="AA79">
            <v>429</v>
          </cell>
          <cell r="AB79">
            <v>290</v>
          </cell>
          <cell r="AC79">
            <v>0</v>
          </cell>
          <cell r="AD79">
            <v>174</v>
          </cell>
          <cell r="AE79">
            <v>818</v>
          </cell>
          <cell r="AF79">
            <v>0</v>
          </cell>
          <cell r="AG79">
            <v>0</v>
          </cell>
          <cell r="AH79">
            <v>2599</v>
          </cell>
          <cell r="AI79">
            <v>1711</v>
          </cell>
          <cell r="AJ79">
            <v>1630</v>
          </cell>
          <cell r="AK79">
            <v>1918</v>
          </cell>
          <cell r="AL79">
            <v>1918</v>
          </cell>
          <cell r="AM79">
            <v>1860</v>
          </cell>
          <cell r="AN79">
            <v>1600</v>
          </cell>
          <cell r="AO79">
            <v>1606</v>
          </cell>
          <cell r="AP79">
            <v>1286</v>
          </cell>
          <cell r="AQ79">
            <v>1936</v>
          </cell>
          <cell r="AR79">
            <v>1580</v>
          </cell>
          <cell r="AS79">
            <v>2174</v>
          </cell>
          <cell r="AT79">
            <v>2039</v>
          </cell>
          <cell r="AV79" t="str">
            <v xml:space="preserve">Está en ceros el safety stock </v>
          </cell>
          <cell r="AW79">
            <v>5100001774</v>
          </cell>
          <cell r="AX79" t="str">
            <v>PRECISE TOOL &amp; DIE LIMIT</v>
          </cell>
          <cell r="AY79" t="str">
            <v xml:space="preserve">CA </v>
          </cell>
          <cell r="AZ79">
            <v>11</v>
          </cell>
          <cell r="BB79" t="str">
            <v>AADTD</v>
          </cell>
          <cell r="BC79" t="str">
            <v>AADTD-06.08.2026-(21B3)-JHUB</v>
          </cell>
          <cell r="BE79">
            <v>2000</v>
          </cell>
          <cell r="BF79">
            <v>1785.8181818181818</v>
          </cell>
          <cell r="BG79">
            <v>0.69610000000000005</v>
          </cell>
          <cell r="BH79">
            <v>7250</v>
          </cell>
          <cell r="BI79">
            <v>4.0597637955609853</v>
          </cell>
          <cell r="BJ79">
            <v>5046.7250000000004</v>
          </cell>
          <cell r="BK79">
            <v>46205.358582773362</v>
          </cell>
          <cell r="BL79">
            <v>24.35858277336591</v>
          </cell>
          <cell r="BM79" t="str">
            <v>0</v>
          </cell>
          <cell r="BN79">
            <v>3750</v>
          </cell>
          <cell r="BO79">
            <v>2840</v>
          </cell>
          <cell r="BP79">
            <v>1950</v>
          </cell>
          <cell r="BQ79">
            <v>1950</v>
          </cell>
          <cell r="BR79">
            <v>1544</v>
          </cell>
          <cell r="BS79">
            <v>1151</v>
          </cell>
          <cell r="BT79">
            <v>722</v>
          </cell>
          <cell r="BU79">
            <v>432</v>
          </cell>
          <cell r="BV79">
            <v>432</v>
          </cell>
          <cell r="BW79">
            <v>258</v>
          </cell>
          <cell r="BX79" t="str">
            <v>FC2B1F2STD02</v>
          </cell>
          <cell r="BY79" t="str">
            <v>EA</v>
          </cell>
        </row>
        <row r="80">
          <cell r="C80" t="str">
            <v>VPDG9H-19E778-BA</v>
          </cell>
          <cell r="D80">
            <v>2000</v>
          </cell>
          <cell r="E80" t="str">
            <v>SHIP.CAP /BULK/ 5/8INCH MALE MSF</v>
          </cell>
          <cell r="F80">
            <v>0</v>
          </cell>
          <cell r="G80">
            <v>0</v>
          </cell>
          <cell r="I80">
            <v>0</v>
          </cell>
          <cell r="M80">
            <v>-2482</v>
          </cell>
          <cell r="N80">
            <v>62482</v>
          </cell>
          <cell r="O80">
            <v>0</v>
          </cell>
          <cell r="Q80">
            <v>56000</v>
          </cell>
          <cell r="R80">
            <v>114000</v>
          </cell>
          <cell r="S80">
            <v>1790</v>
          </cell>
          <cell r="T80">
            <v>4196</v>
          </cell>
          <cell r="U80">
            <v>5038</v>
          </cell>
          <cell r="V80">
            <v>5915</v>
          </cell>
          <cell r="W80">
            <v>5612</v>
          </cell>
          <cell r="X80">
            <v>6090</v>
          </cell>
          <cell r="Y80">
            <v>0</v>
          </cell>
          <cell r="Z80">
            <v>0</v>
          </cell>
          <cell r="AA80">
            <v>5658</v>
          </cell>
          <cell r="AB80">
            <v>5898</v>
          </cell>
          <cell r="AC80">
            <v>5155</v>
          </cell>
          <cell r="AD80">
            <v>5310</v>
          </cell>
          <cell r="AE80">
            <v>5822</v>
          </cell>
          <cell r="AF80">
            <v>0</v>
          </cell>
          <cell r="AG80">
            <v>0</v>
          </cell>
          <cell r="AH80">
            <v>26851</v>
          </cell>
          <cell r="AI80">
            <v>27843</v>
          </cell>
          <cell r="AJ80">
            <v>28106</v>
          </cell>
          <cell r="AK80">
            <v>28174</v>
          </cell>
          <cell r="AL80">
            <v>27833</v>
          </cell>
          <cell r="AM80">
            <v>26727</v>
          </cell>
          <cell r="AN80">
            <v>26308</v>
          </cell>
          <cell r="AO80">
            <v>26988</v>
          </cell>
          <cell r="AP80">
            <v>27437</v>
          </cell>
          <cell r="AQ80">
            <v>26264</v>
          </cell>
          <cell r="AR80">
            <v>26325</v>
          </cell>
          <cell r="AS80">
            <v>26519</v>
          </cell>
          <cell r="AT80">
            <v>86157</v>
          </cell>
          <cell r="AW80">
            <v>5100002097</v>
          </cell>
          <cell r="AX80" t="str">
            <v>POLYMER MOLDING INC</v>
          </cell>
          <cell r="AY80" t="str">
            <v xml:space="preserve">US </v>
          </cell>
          <cell r="AZ80">
            <v>9</v>
          </cell>
          <cell r="BB80" t="str">
            <v>AADTD</v>
          </cell>
          <cell r="BC80" t="str">
            <v>AADTD-06.08.2026-(21B3)-EPDC</v>
          </cell>
          <cell r="BE80">
            <v>60000</v>
          </cell>
          <cell r="BF80">
            <v>27168.727272727272</v>
          </cell>
          <cell r="BG80">
            <v>1.09E-2</v>
          </cell>
          <cell r="BH80">
            <v>114000</v>
          </cell>
          <cell r="BI80">
            <v>4.1960007495248552</v>
          </cell>
          <cell r="BJ80">
            <v>1242.5999999999999</v>
          </cell>
          <cell r="BK80">
            <v>46206.176004497152</v>
          </cell>
          <cell r="BL80">
            <v>25.17600449714913</v>
          </cell>
          <cell r="BM80" t="str">
            <v>0</v>
          </cell>
          <cell r="BN80">
            <v>114000</v>
          </cell>
          <cell r="BO80">
            <v>109804</v>
          </cell>
          <cell r="BP80">
            <v>104766</v>
          </cell>
          <cell r="BQ80">
            <v>98851</v>
          </cell>
          <cell r="BR80">
            <v>93239</v>
          </cell>
          <cell r="BS80">
            <v>87149</v>
          </cell>
          <cell r="BT80">
            <v>81491</v>
          </cell>
          <cell r="BU80">
            <v>75593</v>
          </cell>
          <cell r="BV80">
            <v>70438</v>
          </cell>
          <cell r="BW80">
            <v>65128</v>
          </cell>
          <cell r="BX80" t="str">
            <v>VPDG9H-19E778-BA</v>
          </cell>
          <cell r="BY80" t="str">
            <v>EA</v>
          </cell>
        </row>
        <row r="81">
          <cell r="C81" t="str">
            <v>YR3H-18K459-FAA</v>
          </cell>
          <cell r="D81">
            <v>1219</v>
          </cell>
          <cell r="E81" t="str">
            <v>1/2in CONVOLUTED SLV TUB EPROTECTOR</v>
          </cell>
          <cell r="F81">
            <v>0</v>
          </cell>
          <cell r="G81">
            <v>0</v>
          </cell>
          <cell r="I81">
            <v>4876</v>
          </cell>
          <cell r="M81">
            <v>5130.5959999999995</v>
          </cell>
          <cell r="N81">
            <v>1369.4040000000005</v>
          </cell>
          <cell r="O81">
            <v>0</v>
          </cell>
          <cell r="Q81">
            <v>0</v>
          </cell>
          <cell r="R81">
            <v>13409</v>
          </cell>
          <cell r="S81">
            <v>44.365000000000002</v>
          </cell>
          <cell r="T81">
            <v>1019.88</v>
          </cell>
          <cell r="U81">
            <v>449.06</v>
          </cell>
          <cell r="V81">
            <v>980.23</v>
          </cell>
          <cell r="W81">
            <v>573.6</v>
          </cell>
          <cell r="X81">
            <v>815.82500000000005</v>
          </cell>
          <cell r="Y81">
            <v>0</v>
          </cell>
          <cell r="Z81">
            <v>0</v>
          </cell>
          <cell r="AA81">
            <v>726.02</v>
          </cell>
          <cell r="AB81">
            <v>368.38</v>
          </cell>
          <cell r="AC81">
            <v>819.44</v>
          </cell>
          <cell r="AD81">
            <v>875.18</v>
          </cell>
          <cell r="AE81">
            <v>961.10500000000002</v>
          </cell>
          <cell r="AF81">
            <v>0</v>
          </cell>
          <cell r="AG81">
            <v>0</v>
          </cell>
          <cell r="AH81">
            <v>3838.5949999999998</v>
          </cell>
          <cell r="AI81">
            <v>3750.125</v>
          </cell>
          <cell r="AJ81">
            <v>3555.76</v>
          </cell>
          <cell r="AK81">
            <v>3486.7</v>
          </cell>
          <cell r="AL81">
            <v>3345.5549999999998</v>
          </cell>
          <cell r="AM81">
            <v>3140.48</v>
          </cell>
          <cell r="AN81">
            <v>3475.5349999999999</v>
          </cell>
          <cell r="AO81">
            <v>3198.27</v>
          </cell>
          <cell r="AP81">
            <v>3411.1350000000002</v>
          </cell>
          <cell r="AQ81">
            <v>3571.605</v>
          </cell>
          <cell r="AR81">
            <v>3330.5549999999998</v>
          </cell>
          <cell r="AS81">
            <v>3332.74</v>
          </cell>
          <cell r="AT81">
            <v>9658.875</v>
          </cell>
          <cell r="AW81">
            <v>5100002082</v>
          </cell>
          <cell r="AX81" t="str">
            <v>DELFINGEN US INC</v>
          </cell>
          <cell r="AY81" t="str">
            <v xml:space="preserve">US </v>
          </cell>
          <cell r="AZ81">
            <v>9</v>
          </cell>
          <cell r="BB81" t="str">
            <v>AADTD</v>
          </cell>
          <cell r="BC81" t="str">
            <v>AADTD-06.08.2026-(21B3)-EPDC</v>
          </cell>
          <cell r="BD81">
            <v>3600</v>
          </cell>
          <cell r="BE81">
            <v>6500</v>
          </cell>
          <cell r="BF81">
            <v>3464.0286363636365</v>
          </cell>
          <cell r="BG81">
            <v>2.3000000000000001E-4</v>
          </cell>
          <cell r="BH81">
            <v>18285</v>
          </cell>
          <cell r="BI81">
            <v>5.2785360398159629</v>
          </cell>
          <cell r="BJ81">
            <v>4205.55</v>
          </cell>
          <cell r="BK81">
            <v>46212.671216238894</v>
          </cell>
          <cell r="BL81">
            <v>31.671216238895777</v>
          </cell>
          <cell r="BM81">
            <v>0</v>
          </cell>
          <cell r="BN81">
            <v>13409</v>
          </cell>
          <cell r="BO81">
            <v>12389.12</v>
          </cell>
          <cell r="BP81">
            <v>11940.060000000001</v>
          </cell>
          <cell r="BQ81">
            <v>10959.830000000002</v>
          </cell>
          <cell r="BR81">
            <v>10386.230000000001</v>
          </cell>
          <cell r="BS81">
            <v>9570.4050000000007</v>
          </cell>
          <cell r="BT81">
            <v>8844.3850000000002</v>
          </cell>
          <cell r="BU81">
            <v>8476.005000000001</v>
          </cell>
          <cell r="BV81">
            <v>7656.5650000000005</v>
          </cell>
          <cell r="BW81">
            <v>6781.3850000000002</v>
          </cell>
          <cell r="BX81" t="str">
            <v>YR3H-18K459-FAA</v>
          </cell>
          <cell r="BY81" t="str">
            <v>MM</v>
          </cell>
        </row>
        <row r="82">
          <cell r="C82" t="str">
            <v>FC2B1F2SMG01</v>
          </cell>
          <cell r="D82">
            <v>200</v>
          </cell>
          <cell r="E82" t="str">
            <v>BRKT/CLIP-A/C LINE</v>
          </cell>
          <cell r="F82">
            <v>0</v>
          </cell>
          <cell r="G82">
            <v>21150</v>
          </cell>
          <cell r="I82">
            <v>0</v>
          </cell>
          <cell r="M82">
            <v>4937</v>
          </cell>
          <cell r="N82">
            <v>3063</v>
          </cell>
          <cell r="O82">
            <v>0</v>
          </cell>
          <cell r="Q82">
            <v>7400</v>
          </cell>
          <cell r="R82">
            <v>10800</v>
          </cell>
          <cell r="S82">
            <v>0</v>
          </cell>
          <cell r="T82">
            <v>968</v>
          </cell>
          <cell r="U82">
            <v>1472</v>
          </cell>
          <cell r="V82">
            <v>1490</v>
          </cell>
          <cell r="W82">
            <v>1472</v>
          </cell>
          <cell r="X82">
            <v>1472</v>
          </cell>
          <cell r="Y82">
            <v>0</v>
          </cell>
          <cell r="Z82">
            <v>0</v>
          </cell>
          <cell r="AA82">
            <v>1472</v>
          </cell>
          <cell r="AB82">
            <v>1472</v>
          </cell>
          <cell r="AC82">
            <v>1472</v>
          </cell>
          <cell r="AD82">
            <v>1472</v>
          </cell>
          <cell r="AE82">
            <v>1472</v>
          </cell>
          <cell r="AF82">
            <v>0</v>
          </cell>
          <cell r="AG82">
            <v>0</v>
          </cell>
          <cell r="AH82">
            <v>6874</v>
          </cell>
          <cell r="AI82">
            <v>7360</v>
          </cell>
          <cell r="AJ82">
            <v>7360</v>
          </cell>
          <cell r="AK82">
            <v>7372</v>
          </cell>
          <cell r="AL82">
            <v>7360</v>
          </cell>
          <cell r="AM82">
            <v>7558</v>
          </cell>
          <cell r="AN82">
            <v>7540</v>
          </cell>
          <cell r="AO82">
            <v>7552</v>
          </cell>
          <cell r="AP82">
            <v>7540</v>
          </cell>
          <cell r="AQ82">
            <v>7568</v>
          </cell>
          <cell r="AR82">
            <v>7540</v>
          </cell>
          <cell r="AS82">
            <v>8188</v>
          </cell>
          <cell r="AT82">
            <v>3440</v>
          </cell>
          <cell r="AW82">
            <v>5100002125</v>
          </cell>
          <cell r="AX82" t="str">
            <v>FRANKLIN FASTENER CO</v>
          </cell>
          <cell r="AY82" t="str">
            <v xml:space="preserve">US </v>
          </cell>
          <cell r="AZ82">
            <v>9</v>
          </cell>
          <cell r="BB82" t="str">
            <v>AADTD</v>
          </cell>
          <cell r="BC82" t="str">
            <v>AADTD-06.08.2026-(21B3)-JHUB</v>
          </cell>
          <cell r="BD82">
            <v>7500</v>
          </cell>
          <cell r="BE82">
            <v>8000</v>
          </cell>
          <cell r="BF82">
            <v>7420.363636363636</v>
          </cell>
          <cell r="BG82">
            <v>0.59250000000000003</v>
          </cell>
          <cell r="BH82">
            <v>31950</v>
          </cell>
          <cell r="BI82">
            <v>4.3057189062040582</v>
          </cell>
          <cell r="BJ82">
            <v>18930.375</v>
          </cell>
          <cell r="BK82">
            <v>46206.834313437226</v>
          </cell>
          <cell r="BL82">
            <v>25.834313437224349</v>
          </cell>
          <cell r="BM82" t="str">
            <v>0</v>
          </cell>
          <cell r="BN82">
            <v>10800</v>
          </cell>
          <cell r="BO82">
            <v>9832</v>
          </cell>
          <cell r="BP82">
            <v>8360</v>
          </cell>
          <cell r="BQ82">
            <v>6870</v>
          </cell>
          <cell r="BR82">
            <v>5398</v>
          </cell>
          <cell r="BS82">
            <v>3926</v>
          </cell>
          <cell r="BT82">
            <v>2454</v>
          </cell>
          <cell r="BU82">
            <v>982</v>
          </cell>
          <cell r="BV82">
            <v>-490</v>
          </cell>
          <cell r="BW82">
            <v>-1962</v>
          </cell>
          <cell r="BX82" t="str">
            <v>FC2B1F2SMG01</v>
          </cell>
          <cell r="BY82" t="str">
            <v>EA</v>
          </cell>
        </row>
        <row r="83">
          <cell r="C83" t="str">
            <v>E3EH-19D701-A2A</v>
          </cell>
          <cell r="D83">
            <v>1000</v>
          </cell>
          <cell r="E83" t="str">
            <v>CORE ASSEMBLY - A/C CHAR GE VALVE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1955</v>
          </cell>
          <cell r="N83">
            <v>-1355</v>
          </cell>
          <cell r="O83">
            <v>0</v>
          </cell>
          <cell r="P83">
            <v>2955</v>
          </cell>
          <cell r="Q83">
            <v>0</v>
          </cell>
          <cell r="R83">
            <v>0</v>
          </cell>
          <cell r="S83">
            <v>134</v>
          </cell>
          <cell r="T83">
            <v>0</v>
          </cell>
          <cell r="U83">
            <v>0</v>
          </cell>
          <cell r="V83">
            <v>180</v>
          </cell>
          <cell r="W83">
            <v>0</v>
          </cell>
          <cell r="X83">
            <v>76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180</v>
          </cell>
          <cell r="AD83">
            <v>0</v>
          </cell>
          <cell r="AE83">
            <v>76</v>
          </cell>
          <cell r="AF83">
            <v>0</v>
          </cell>
          <cell r="AG83">
            <v>0</v>
          </cell>
          <cell r="AH83">
            <v>256</v>
          </cell>
          <cell r="AI83">
            <v>256</v>
          </cell>
          <cell r="AJ83">
            <v>190</v>
          </cell>
          <cell r="AK83">
            <v>114</v>
          </cell>
          <cell r="AL83">
            <v>435</v>
          </cell>
          <cell r="AM83">
            <v>101</v>
          </cell>
          <cell r="AN83">
            <v>345</v>
          </cell>
          <cell r="AO83">
            <v>4</v>
          </cell>
          <cell r="AP83">
            <v>385</v>
          </cell>
          <cell r="AQ83">
            <v>182</v>
          </cell>
          <cell r="AR83">
            <v>126</v>
          </cell>
          <cell r="AS83">
            <v>100</v>
          </cell>
          <cell r="AT83">
            <v>-256</v>
          </cell>
          <cell r="AW83">
            <v>5100001876</v>
          </cell>
          <cell r="AX83" t="str">
            <v>SCHRADER BRIDGEPORT INTE</v>
          </cell>
          <cell r="AY83" t="str">
            <v xml:space="preserve">US </v>
          </cell>
          <cell r="AZ83">
            <v>9</v>
          </cell>
          <cell r="BB83" t="str">
            <v>AADTD</v>
          </cell>
          <cell r="BC83" t="str">
            <v>AADTD-06.08.2026-(21B3)-EPDC</v>
          </cell>
          <cell r="BE83">
            <v>600</v>
          </cell>
          <cell r="BF83">
            <v>217.63636363636363</v>
          </cell>
          <cell r="BG83">
            <v>7.8E-2</v>
          </cell>
          <cell r="BH83">
            <v>0</v>
          </cell>
          <cell r="BI83">
            <v>0</v>
          </cell>
          <cell r="BJ83">
            <v>0</v>
          </cell>
          <cell r="BK83">
            <v>46181</v>
          </cell>
          <cell r="BL83">
            <v>0</v>
          </cell>
          <cell r="BM83" t="str">
            <v>0</v>
          </cell>
          <cell r="BN83">
            <v>0</v>
          </cell>
          <cell r="BO83">
            <v>0</v>
          </cell>
          <cell r="BP83">
            <v>0</v>
          </cell>
          <cell r="BQ83">
            <v>-180</v>
          </cell>
          <cell r="BR83">
            <v>-180</v>
          </cell>
          <cell r="BS83">
            <v>-256</v>
          </cell>
          <cell r="BT83">
            <v>-256</v>
          </cell>
          <cell r="BU83">
            <v>-256</v>
          </cell>
          <cell r="BV83">
            <v>-436</v>
          </cell>
          <cell r="BW83">
            <v>-436</v>
          </cell>
          <cell r="BY83" t="str">
            <v>EA</v>
          </cell>
        </row>
        <row r="84">
          <cell r="C84" t="str">
            <v>FC2B1F2SED02</v>
          </cell>
          <cell r="D84">
            <v>150</v>
          </cell>
          <cell r="E84" t="str">
            <v>BRKT/CLIP-A/C LINE</v>
          </cell>
          <cell r="F84">
            <v>0</v>
          </cell>
          <cell r="G84">
            <v>20800</v>
          </cell>
          <cell r="I84">
            <v>0</v>
          </cell>
          <cell r="M84">
            <v>3342</v>
          </cell>
          <cell r="N84">
            <v>4658</v>
          </cell>
          <cell r="O84">
            <v>0</v>
          </cell>
          <cell r="Q84">
            <v>7000</v>
          </cell>
          <cell r="R84">
            <v>11200</v>
          </cell>
          <cell r="S84">
            <v>0</v>
          </cell>
          <cell r="T84">
            <v>968</v>
          </cell>
          <cell r="U84">
            <v>1472</v>
          </cell>
          <cell r="V84">
            <v>1490</v>
          </cell>
          <cell r="W84">
            <v>1472</v>
          </cell>
          <cell r="X84">
            <v>1472</v>
          </cell>
          <cell r="Y84">
            <v>0</v>
          </cell>
          <cell r="Z84">
            <v>0</v>
          </cell>
          <cell r="AA84">
            <v>1472</v>
          </cell>
          <cell r="AB84">
            <v>1472</v>
          </cell>
          <cell r="AC84">
            <v>1472</v>
          </cell>
          <cell r="AD84">
            <v>1472</v>
          </cell>
          <cell r="AE84">
            <v>1472</v>
          </cell>
          <cell r="AF84">
            <v>0</v>
          </cell>
          <cell r="AG84">
            <v>0</v>
          </cell>
          <cell r="AH84">
            <v>6874</v>
          </cell>
          <cell r="AI84">
            <v>7360</v>
          </cell>
          <cell r="AJ84">
            <v>7360</v>
          </cell>
          <cell r="AK84">
            <v>7372</v>
          </cell>
          <cell r="AL84">
            <v>7360</v>
          </cell>
          <cell r="AM84">
            <v>7558</v>
          </cell>
          <cell r="AN84">
            <v>7540</v>
          </cell>
          <cell r="AO84">
            <v>7552</v>
          </cell>
          <cell r="AP84">
            <v>7540</v>
          </cell>
          <cell r="AQ84">
            <v>7568</v>
          </cell>
          <cell r="AR84">
            <v>7540</v>
          </cell>
          <cell r="AS84">
            <v>8188</v>
          </cell>
          <cell r="AT84">
            <v>3840</v>
          </cell>
          <cell r="AW84">
            <v>5100002125</v>
          </cell>
          <cell r="AX84" t="str">
            <v>FRANKLIN FASTENER CO</v>
          </cell>
          <cell r="AY84" t="str">
            <v xml:space="preserve">US </v>
          </cell>
          <cell r="AZ84">
            <v>9</v>
          </cell>
          <cell r="BB84" t="str">
            <v>AADTD</v>
          </cell>
          <cell r="BC84" t="str">
            <v>AADTD-06.08.2026-(21B3)-JHUB</v>
          </cell>
          <cell r="BE84">
            <v>8000</v>
          </cell>
          <cell r="BF84">
            <v>7420.363636363636</v>
          </cell>
          <cell r="BG84">
            <v>0.80829999999999991</v>
          </cell>
          <cell r="BH84">
            <v>32000</v>
          </cell>
          <cell r="BI84">
            <v>4.3124571204547681</v>
          </cell>
          <cell r="BJ84">
            <v>25865.599999999999</v>
          </cell>
          <cell r="BK84">
            <v>46206.874742722728</v>
          </cell>
          <cell r="BL84">
            <v>25.874742722728609</v>
          </cell>
          <cell r="BM84" t="str">
            <v>0</v>
          </cell>
          <cell r="BN84">
            <v>11200</v>
          </cell>
          <cell r="BO84">
            <v>10232</v>
          </cell>
          <cell r="BP84">
            <v>8760</v>
          </cell>
          <cell r="BQ84">
            <v>7270</v>
          </cell>
          <cell r="BR84">
            <v>5798</v>
          </cell>
          <cell r="BS84">
            <v>4326</v>
          </cell>
          <cell r="BT84">
            <v>2854</v>
          </cell>
          <cell r="BU84">
            <v>1382</v>
          </cell>
          <cell r="BV84">
            <v>-90</v>
          </cell>
          <cell r="BW84">
            <v>-1562</v>
          </cell>
          <cell r="BX84" t="str">
            <v>FC2B1F2SED02</v>
          </cell>
          <cell r="BY84" t="str">
            <v>EA</v>
          </cell>
        </row>
        <row r="85">
          <cell r="C85" t="str">
            <v>VP6L2H-19E778-DA</v>
          </cell>
          <cell r="D85">
            <v>2000</v>
          </cell>
          <cell r="E85" t="str">
            <v>5/8in P-NUT CAP</v>
          </cell>
          <cell r="F85">
            <v>0</v>
          </cell>
          <cell r="G85">
            <v>4000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959</v>
          </cell>
          <cell r="N85">
            <v>11041</v>
          </cell>
          <cell r="O85">
            <v>0</v>
          </cell>
          <cell r="P85">
            <v>16959</v>
          </cell>
          <cell r="Q85">
            <v>10000</v>
          </cell>
          <cell r="R85">
            <v>20000</v>
          </cell>
          <cell r="S85">
            <v>1540</v>
          </cell>
          <cell r="T85">
            <v>1054</v>
          </cell>
          <cell r="U85">
            <v>1430</v>
          </cell>
          <cell r="V85">
            <v>1045</v>
          </cell>
          <cell r="W85">
            <v>1006</v>
          </cell>
          <cell r="X85">
            <v>1053</v>
          </cell>
          <cell r="Y85">
            <v>0</v>
          </cell>
          <cell r="Z85">
            <v>0</v>
          </cell>
          <cell r="AA85">
            <v>1083</v>
          </cell>
          <cell r="AB85">
            <v>1055</v>
          </cell>
          <cell r="AC85">
            <v>1050</v>
          </cell>
          <cell r="AD85">
            <v>1002</v>
          </cell>
          <cell r="AE85">
            <v>1088</v>
          </cell>
          <cell r="AF85">
            <v>0</v>
          </cell>
          <cell r="AG85">
            <v>0</v>
          </cell>
          <cell r="AH85">
            <v>5588</v>
          </cell>
          <cell r="AI85">
            <v>5278</v>
          </cell>
          <cell r="AJ85">
            <v>4969</v>
          </cell>
          <cell r="AK85">
            <v>5190</v>
          </cell>
          <cell r="AL85">
            <v>5266</v>
          </cell>
          <cell r="AM85">
            <v>5155</v>
          </cell>
          <cell r="AN85">
            <v>5118</v>
          </cell>
          <cell r="AO85">
            <v>5113</v>
          </cell>
          <cell r="AP85">
            <v>5003</v>
          </cell>
          <cell r="AQ85">
            <v>5080</v>
          </cell>
          <cell r="AR85">
            <v>5087</v>
          </cell>
          <cell r="AS85">
            <v>5180</v>
          </cell>
          <cell r="AT85">
            <v>14722</v>
          </cell>
          <cell r="AW85">
            <v>5100002097</v>
          </cell>
          <cell r="AX85" t="str">
            <v>POLYMER MOLDING INC</v>
          </cell>
          <cell r="AY85" t="str">
            <v xml:space="preserve">US </v>
          </cell>
          <cell r="AZ85">
            <v>9</v>
          </cell>
          <cell r="BB85" t="str">
            <v>AADTD</v>
          </cell>
          <cell r="BC85" t="str">
            <v>AADTD-06.08.2026-(21B3)-JHUB</v>
          </cell>
          <cell r="BE85">
            <v>12000</v>
          </cell>
          <cell r="BF85">
            <v>5167.909090909091</v>
          </cell>
          <cell r="BG85">
            <v>3.7600000000000001E-2</v>
          </cell>
          <cell r="BH85">
            <v>24000</v>
          </cell>
          <cell r="BI85">
            <v>4.644044540609003</v>
          </cell>
          <cell r="BJ85">
            <v>902.40000000000009</v>
          </cell>
          <cell r="BK85">
            <v>46208.864267243654</v>
          </cell>
          <cell r="BL85">
            <v>27.86426724365402</v>
          </cell>
          <cell r="BM85" t="str">
            <v>0</v>
          </cell>
          <cell r="BN85">
            <v>20000</v>
          </cell>
          <cell r="BO85">
            <v>18946</v>
          </cell>
          <cell r="BP85">
            <v>17516</v>
          </cell>
          <cell r="BQ85">
            <v>16471</v>
          </cell>
          <cell r="BR85">
            <v>15465</v>
          </cell>
          <cell r="BS85">
            <v>14412</v>
          </cell>
          <cell r="BT85">
            <v>13329</v>
          </cell>
          <cell r="BU85">
            <v>12274</v>
          </cell>
          <cell r="BV85">
            <v>11224</v>
          </cell>
          <cell r="BW85">
            <v>10222</v>
          </cell>
          <cell r="BX85" t="str">
            <v>VP6L2H-19E778-DA</v>
          </cell>
          <cell r="BY85" t="str">
            <v>EA</v>
          </cell>
        </row>
        <row r="86">
          <cell r="C86" t="str">
            <v>FC1Z0F2S7Q01</v>
          </cell>
          <cell r="D86">
            <v>50</v>
          </cell>
          <cell r="E86" t="str">
            <v>HOSE-A/C FORMED-BARRIER GALAXY 3/4 4886</v>
          </cell>
          <cell r="F86">
            <v>0</v>
          </cell>
          <cell r="G86">
            <v>5350</v>
          </cell>
          <cell r="I86">
            <v>0</v>
          </cell>
          <cell r="M86">
            <v>416</v>
          </cell>
          <cell r="N86">
            <v>584</v>
          </cell>
          <cell r="O86">
            <v>0</v>
          </cell>
          <cell r="Q86">
            <v>3150</v>
          </cell>
          <cell r="R86">
            <v>19450</v>
          </cell>
          <cell r="S86">
            <v>0</v>
          </cell>
          <cell r="T86">
            <v>756</v>
          </cell>
          <cell r="U86">
            <v>648</v>
          </cell>
          <cell r="V86">
            <v>1512</v>
          </cell>
          <cell r="W86">
            <v>1188</v>
          </cell>
          <cell r="X86">
            <v>1944</v>
          </cell>
          <cell r="Y86">
            <v>0</v>
          </cell>
          <cell r="Z86">
            <v>0</v>
          </cell>
          <cell r="AA86">
            <v>1080</v>
          </cell>
          <cell r="AB86">
            <v>357</v>
          </cell>
          <cell r="AC86">
            <v>1080</v>
          </cell>
          <cell r="AD86">
            <v>324</v>
          </cell>
          <cell r="AE86">
            <v>1296</v>
          </cell>
          <cell r="AF86">
            <v>0</v>
          </cell>
          <cell r="AG86">
            <v>0</v>
          </cell>
          <cell r="AH86">
            <v>6048</v>
          </cell>
          <cell r="AI86">
            <v>4137</v>
          </cell>
          <cell r="AJ86">
            <v>4212</v>
          </cell>
          <cell r="AK86">
            <v>4968</v>
          </cell>
          <cell r="AL86">
            <v>4968</v>
          </cell>
          <cell r="AM86">
            <v>3456</v>
          </cell>
          <cell r="AN86">
            <v>3996</v>
          </cell>
          <cell r="AO86">
            <v>3024</v>
          </cell>
          <cell r="AP86">
            <v>4320</v>
          </cell>
          <cell r="AQ86">
            <v>4320</v>
          </cell>
          <cell r="AR86">
            <v>5076</v>
          </cell>
          <cell r="AS86">
            <v>4212</v>
          </cell>
          <cell r="AT86">
            <v>15313</v>
          </cell>
          <cell r="AW86">
            <v>5100005175</v>
          </cell>
          <cell r="AX86" t="str">
            <v xml:space="preserve">Contitech Delicias </v>
          </cell>
          <cell r="AY86" t="str">
            <v xml:space="preserve">US </v>
          </cell>
          <cell r="AZ86">
            <v>9</v>
          </cell>
          <cell r="BB86" t="str">
            <v>AADTD</v>
          </cell>
          <cell r="BC86" t="str">
            <v>AADTD-06.08.2026-(21B3)-JHUB</v>
          </cell>
          <cell r="BE86">
            <v>1000</v>
          </cell>
          <cell r="BF86">
            <v>4411.363636363636</v>
          </cell>
          <cell r="BG86">
            <v>3.9830000000000001</v>
          </cell>
          <cell r="BH86">
            <v>24800</v>
          </cell>
          <cell r="BI86">
            <v>5.6218444100978884</v>
          </cell>
          <cell r="BJ86">
            <v>98778.400000000009</v>
          </cell>
          <cell r="BK86">
            <v>46214.73106646059</v>
          </cell>
          <cell r="BL86">
            <v>33.731066460587328</v>
          </cell>
          <cell r="BM86">
            <v>2800</v>
          </cell>
          <cell r="BN86">
            <v>19450</v>
          </cell>
          <cell r="BO86">
            <v>18694</v>
          </cell>
          <cell r="BP86">
            <v>18046</v>
          </cell>
          <cell r="BQ86">
            <v>16534</v>
          </cell>
          <cell r="BR86">
            <v>15346</v>
          </cell>
          <cell r="BS86">
            <v>13402</v>
          </cell>
          <cell r="BT86">
            <v>12322</v>
          </cell>
          <cell r="BU86">
            <v>11965</v>
          </cell>
          <cell r="BV86">
            <v>10885</v>
          </cell>
          <cell r="BW86">
            <v>10561</v>
          </cell>
          <cell r="BX86" t="str">
            <v>FC1Z0F2S7Q01</v>
          </cell>
          <cell r="BY86" t="str">
            <v>EA</v>
          </cell>
        </row>
        <row r="87">
          <cell r="C87" t="str">
            <v>VP9ASH-19E778-DA</v>
          </cell>
          <cell r="D87">
            <v>4000</v>
          </cell>
          <cell r="E87" t="str">
            <v>CAP-12MM CAPO FLANGE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3188</v>
          </cell>
          <cell r="N87">
            <v>4812</v>
          </cell>
          <cell r="O87">
            <v>0</v>
          </cell>
          <cell r="P87">
            <v>11188</v>
          </cell>
          <cell r="Q87">
            <v>0</v>
          </cell>
          <cell r="R87">
            <v>8000</v>
          </cell>
          <cell r="S87">
            <v>119</v>
          </cell>
          <cell r="T87">
            <v>140</v>
          </cell>
          <cell r="U87">
            <v>540</v>
          </cell>
          <cell r="V87">
            <v>120</v>
          </cell>
          <cell r="W87">
            <v>40</v>
          </cell>
          <cell r="X87">
            <v>440</v>
          </cell>
          <cell r="Y87">
            <v>0</v>
          </cell>
          <cell r="Z87">
            <v>0</v>
          </cell>
          <cell r="AA87">
            <v>140</v>
          </cell>
          <cell r="AB87">
            <v>140</v>
          </cell>
          <cell r="AC87">
            <v>160</v>
          </cell>
          <cell r="AD87">
            <v>240</v>
          </cell>
          <cell r="AE87">
            <v>459</v>
          </cell>
          <cell r="AF87">
            <v>0</v>
          </cell>
          <cell r="AG87">
            <v>0</v>
          </cell>
          <cell r="AH87">
            <v>1280</v>
          </cell>
          <cell r="AI87">
            <v>1139</v>
          </cell>
          <cell r="AJ87">
            <v>1320</v>
          </cell>
          <cell r="AK87">
            <v>2226</v>
          </cell>
          <cell r="AL87">
            <v>2200</v>
          </cell>
          <cell r="AM87">
            <v>1720</v>
          </cell>
          <cell r="AN87">
            <v>1540</v>
          </cell>
          <cell r="AO87">
            <v>1330</v>
          </cell>
          <cell r="AP87">
            <v>1220</v>
          </cell>
          <cell r="AQ87">
            <v>2220</v>
          </cell>
          <cell r="AR87">
            <v>2420</v>
          </cell>
          <cell r="AS87">
            <v>1306</v>
          </cell>
          <cell r="AT87">
            <v>6861</v>
          </cell>
          <cell r="AW87">
            <v>5100002703</v>
          </cell>
          <cell r="AX87" t="str">
            <v>Caplugs LLC</v>
          </cell>
          <cell r="AY87" t="str">
            <v xml:space="preserve">US </v>
          </cell>
          <cell r="AZ87">
            <v>9</v>
          </cell>
          <cell r="BB87" t="str">
            <v>AADTD</v>
          </cell>
          <cell r="BC87" t="str">
            <v>AADTD-06.08.2026-(21B3)-EPDC</v>
          </cell>
          <cell r="BD87">
            <v>6750</v>
          </cell>
          <cell r="BE87">
            <v>8000</v>
          </cell>
          <cell r="BF87">
            <v>1692.2727272727273</v>
          </cell>
          <cell r="BG87">
            <v>4.0049999999999995E-2</v>
          </cell>
          <cell r="BH87">
            <v>8000</v>
          </cell>
          <cell r="BI87">
            <v>4.7273704002148804</v>
          </cell>
          <cell r="BJ87">
            <v>320.39999999999998</v>
          </cell>
          <cell r="BK87">
            <v>46209.364222401287</v>
          </cell>
          <cell r="BL87">
            <v>28.364222401289283</v>
          </cell>
          <cell r="BM87" t="str">
            <v>0</v>
          </cell>
          <cell r="BN87">
            <v>8000</v>
          </cell>
          <cell r="BO87">
            <v>7860</v>
          </cell>
          <cell r="BP87">
            <v>7320</v>
          </cell>
          <cell r="BQ87">
            <v>7200</v>
          </cell>
          <cell r="BR87">
            <v>7160</v>
          </cell>
          <cell r="BS87">
            <v>6720</v>
          </cell>
          <cell r="BT87">
            <v>6580</v>
          </cell>
          <cell r="BU87">
            <v>6440</v>
          </cell>
          <cell r="BV87">
            <v>6280</v>
          </cell>
          <cell r="BW87">
            <v>6040</v>
          </cell>
          <cell r="BY87" t="str">
            <v>EA</v>
          </cell>
        </row>
        <row r="88">
          <cell r="C88" t="str">
            <v>FC1B4F2S2G01</v>
          </cell>
          <cell r="D88">
            <v>250</v>
          </cell>
          <cell r="E88" t="str">
            <v>SLV HT ALU SELF WRAP SLV HT ALU SELF WRA</v>
          </cell>
          <cell r="F88">
            <v>0</v>
          </cell>
          <cell r="G88">
            <v>9500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443</v>
          </cell>
          <cell r="N88">
            <v>3557</v>
          </cell>
          <cell r="O88">
            <v>0</v>
          </cell>
          <cell r="P88">
            <v>14443</v>
          </cell>
          <cell r="Q88">
            <v>0</v>
          </cell>
          <cell r="R88">
            <v>7000</v>
          </cell>
          <cell r="S88">
            <v>0</v>
          </cell>
          <cell r="T88">
            <v>0</v>
          </cell>
          <cell r="U88">
            <v>792</v>
          </cell>
          <cell r="V88">
            <v>792</v>
          </cell>
          <cell r="W88">
            <v>990</v>
          </cell>
          <cell r="X88">
            <v>594</v>
          </cell>
          <cell r="Y88">
            <v>0</v>
          </cell>
          <cell r="Z88">
            <v>0</v>
          </cell>
          <cell r="AA88">
            <v>594</v>
          </cell>
          <cell r="AB88">
            <v>990</v>
          </cell>
          <cell r="AC88">
            <v>792</v>
          </cell>
          <cell r="AD88">
            <v>990</v>
          </cell>
          <cell r="AE88">
            <v>594</v>
          </cell>
          <cell r="AF88">
            <v>0</v>
          </cell>
          <cell r="AG88">
            <v>0</v>
          </cell>
          <cell r="AH88">
            <v>3168</v>
          </cell>
          <cell r="AI88">
            <v>3960</v>
          </cell>
          <cell r="AJ88">
            <v>3762</v>
          </cell>
          <cell r="AK88">
            <v>3168</v>
          </cell>
          <cell r="AL88">
            <v>4554</v>
          </cell>
          <cell r="AM88">
            <v>3243</v>
          </cell>
          <cell r="AN88">
            <v>4668</v>
          </cell>
          <cell r="AO88">
            <v>4752</v>
          </cell>
          <cell r="AP88">
            <v>2376</v>
          </cell>
          <cell r="AQ88">
            <v>3200</v>
          </cell>
          <cell r="AR88">
            <v>4784</v>
          </cell>
          <cell r="AS88">
            <v>3200</v>
          </cell>
          <cell r="AT88">
            <v>3040</v>
          </cell>
          <cell r="AW88">
            <v>5100005155</v>
          </cell>
          <cell r="AX88" t="str">
            <v xml:space="preserve">FEDERAL-MOGUL POWERTRAIN- Qro </v>
          </cell>
          <cell r="AY88" t="str">
            <v xml:space="preserve">US </v>
          </cell>
          <cell r="AZ88">
            <v>9</v>
          </cell>
          <cell r="BB88" t="str">
            <v>AADTD</v>
          </cell>
          <cell r="BC88" t="str">
            <v>AADTD-06.08.2026-(21B3)-JHUB</v>
          </cell>
          <cell r="BD88">
            <v>6750</v>
          </cell>
          <cell r="BE88">
            <v>4000</v>
          </cell>
          <cell r="BF88">
            <v>3785</v>
          </cell>
          <cell r="BG88">
            <v>0.59639999999999993</v>
          </cell>
          <cell r="BH88">
            <v>16500</v>
          </cell>
          <cell r="BI88">
            <v>4.3593130779392339</v>
          </cell>
          <cell r="BJ88">
            <v>9840.5999999999985</v>
          </cell>
          <cell r="BK88">
            <v>46207.155878467638</v>
          </cell>
          <cell r="BL88">
            <v>26.155878467635404</v>
          </cell>
          <cell r="BM88" t="str">
            <v>0</v>
          </cell>
          <cell r="BN88">
            <v>7000</v>
          </cell>
          <cell r="BO88">
            <v>7000</v>
          </cell>
          <cell r="BP88">
            <v>6208</v>
          </cell>
          <cell r="BQ88">
            <v>5416</v>
          </cell>
          <cell r="BR88">
            <v>4426</v>
          </cell>
          <cell r="BS88">
            <v>3832</v>
          </cell>
          <cell r="BT88">
            <v>3238</v>
          </cell>
          <cell r="BU88">
            <v>2248</v>
          </cell>
          <cell r="BV88">
            <v>1456</v>
          </cell>
          <cell r="BW88">
            <v>466</v>
          </cell>
          <cell r="BY88" t="str">
            <v>EA</v>
          </cell>
        </row>
        <row r="89">
          <cell r="C89" t="str">
            <v>YR3H-18K459-BAA</v>
          </cell>
          <cell r="D89">
            <v>762</v>
          </cell>
          <cell r="E89" t="str">
            <v>1/2in CONVOLUTED SLV HOS EPROTECTOR</v>
          </cell>
          <cell r="F89">
            <v>0</v>
          </cell>
          <cell r="G89">
            <v>0</v>
          </cell>
          <cell r="I89">
            <v>3048</v>
          </cell>
          <cell r="M89">
            <v>1281.308</v>
          </cell>
          <cell r="N89">
            <v>3718.692</v>
          </cell>
          <cell r="O89">
            <v>0</v>
          </cell>
          <cell r="Q89">
            <v>0</v>
          </cell>
          <cell r="R89">
            <v>14478</v>
          </cell>
          <cell r="S89">
            <v>110.095</v>
          </cell>
          <cell r="T89">
            <v>790.32</v>
          </cell>
          <cell r="U89">
            <v>202.32</v>
          </cell>
          <cell r="V89">
            <v>436.8</v>
          </cell>
          <cell r="W89">
            <v>508.8</v>
          </cell>
          <cell r="X89">
            <v>785.24800000000005</v>
          </cell>
          <cell r="Y89">
            <v>0</v>
          </cell>
          <cell r="Z89">
            <v>0</v>
          </cell>
          <cell r="AA89">
            <v>928.32</v>
          </cell>
          <cell r="AB89">
            <v>108.72</v>
          </cell>
          <cell r="AC89">
            <v>922.69500000000005</v>
          </cell>
          <cell r="AD89">
            <v>558.72</v>
          </cell>
          <cell r="AE89">
            <v>775.16800000000001</v>
          </cell>
          <cell r="AF89">
            <v>0</v>
          </cell>
          <cell r="AG89">
            <v>0</v>
          </cell>
          <cell r="AH89">
            <v>2723.4879999999998</v>
          </cell>
          <cell r="AI89">
            <v>3293.623</v>
          </cell>
          <cell r="AJ89">
            <v>3182.0949999999998</v>
          </cell>
          <cell r="AK89">
            <v>3163.8649999999998</v>
          </cell>
          <cell r="AL89">
            <v>3266.73</v>
          </cell>
          <cell r="AM89">
            <v>3087.32</v>
          </cell>
          <cell r="AN89">
            <v>2466.5650000000001</v>
          </cell>
          <cell r="AO89">
            <v>3006.27</v>
          </cell>
          <cell r="AP89">
            <v>3001.34</v>
          </cell>
          <cell r="AQ89">
            <v>3174.3629999999998</v>
          </cell>
          <cell r="AR89">
            <v>2660.895</v>
          </cell>
          <cell r="AS89">
            <v>2867.92</v>
          </cell>
          <cell r="AT89">
            <v>11184.377</v>
          </cell>
          <cell r="AW89">
            <v>5100002082</v>
          </cell>
          <cell r="AX89" t="str">
            <v>DELFINGEN US INC</v>
          </cell>
          <cell r="AY89" t="str">
            <v xml:space="preserve">US </v>
          </cell>
          <cell r="AZ89">
            <v>9</v>
          </cell>
          <cell r="BB89" t="str">
            <v>AADTD</v>
          </cell>
          <cell r="BC89" t="str">
            <v>AADTD-06.08.2026-(21B3)-EPDC</v>
          </cell>
          <cell r="BE89">
            <v>5000</v>
          </cell>
          <cell r="BF89">
            <v>3002.4139999999998</v>
          </cell>
          <cell r="BG89">
            <v>2.3000000000000001E-4</v>
          </cell>
          <cell r="BH89">
            <v>17526</v>
          </cell>
          <cell r="BI89">
            <v>5.8373029169195192</v>
          </cell>
          <cell r="BJ89">
            <v>4030.9800000000005</v>
          </cell>
          <cell r="BK89">
            <v>46216.023817501518</v>
          </cell>
          <cell r="BL89">
            <v>35.023817501517115</v>
          </cell>
          <cell r="BM89">
            <v>0</v>
          </cell>
          <cell r="BN89">
            <v>14478</v>
          </cell>
          <cell r="BO89">
            <v>13687.68</v>
          </cell>
          <cell r="BP89">
            <v>13485.36</v>
          </cell>
          <cell r="BQ89">
            <v>13048.560000000001</v>
          </cell>
          <cell r="BR89">
            <v>12539.760000000002</v>
          </cell>
          <cell r="BS89">
            <v>11754.512000000002</v>
          </cell>
          <cell r="BT89">
            <v>10826.192000000003</v>
          </cell>
          <cell r="BU89">
            <v>10717.472000000003</v>
          </cell>
          <cell r="BV89">
            <v>9794.7770000000037</v>
          </cell>
          <cell r="BW89">
            <v>9236.0570000000043</v>
          </cell>
          <cell r="BX89" t="str">
            <v>YR3H-18K459-BAA</v>
          </cell>
          <cell r="BY89" t="str">
            <v>MM</v>
          </cell>
        </row>
        <row r="90">
          <cell r="C90" t="str">
            <v>FC1A3F2S6E01</v>
          </cell>
          <cell r="D90">
            <v>2000</v>
          </cell>
          <cell r="E90" t="str">
            <v>SLV ABRAS BRD MONOFI D13_T0.8_L0170</v>
          </cell>
          <cell r="F90">
            <v>0</v>
          </cell>
          <cell r="G90">
            <v>8000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2440</v>
          </cell>
          <cell r="N90">
            <v>3560</v>
          </cell>
          <cell r="O90">
            <v>0</v>
          </cell>
          <cell r="P90">
            <v>14440</v>
          </cell>
          <cell r="Q90">
            <v>0</v>
          </cell>
          <cell r="R90">
            <v>10000</v>
          </cell>
          <cell r="S90">
            <v>0</v>
          </cell>
          <cell r="T90">
            <v>840</v>
          </cell>
          <cell r="U90">
            <v>840</v>
          </cell>
          <cell r="V90">
            <v>840</v>
          </cell>
          <cell r="W90">
            <v>840</v>
          </cell>
          <cell r="X90">
            <v>840</v>
          </cell>
          <cell r="Y90">
            <v>0</v>
          </cell>
          <cell r="Z90">
            <v>0</v>
          </cell>
          <cell r="AA90">
            <v>840</v>
          </cell>
          <cell r="AB90">
            <v>840</v>
          </cell>
          <cell r="AC90">
            <v>840</v>
          </cell>
          <cell r="AD90">
            <v>840</v>
          </cell>
          <cell r="AE90">
            <v>840</v>
          </cell>
          <cell r="AF90">
            <v>0</v>
          </cell>
          <cell r="AG90">
            <v>0</v>
          </cell>
          <cell r="AH90">
            <v>4200</v>
          </cell>
          <cell r="AI90">
            <v>4200</v>
          </cell>
          <cell r="AJ90">
            <v>4200</v>
          </cell>
          <cell r="AK90">
            <v>4200</v>
          </cell>
          <cell r="AL90">
            <v>3780</v>
          </cell>
          <cell r="AM90">
            <v>3360</v>
          </cell>
          <cell r="AN90">
            <v>3360</v>
          </cell>
          <cell r="AO90">
            <v>3360</v>
          </cell>
          <cell r="AP90">
            <v>3360</v>
          </cell>
          <cell r="AQ90">
            <v>3360</v>
          </cell>
          <cell r="AR90">
            <v>3360</v>
          </cell>
          <cell r="AS90">
            <v>3360</v>
          </cell>
          <cell r="AT90">
            <v>5800</v>
          </cell>
          <cell r="AW90">
            <v>5100005155</v>
          </cell>
          <cell r="AX90" t="str">
            <v xml:space="preserve">FEDERAL-MOGUL POWERTRAIN- Qro </v>
          </cell>
          <cell r="AY90" t="str">
            <v xml:space="preserve">US </v>
          </cell>
          <cell r="AZ90">
            <v>9</v>
          </cell>
          <cell r="BB90" t="str">
            <v>AADTD</v>
          </cell>
          <cell r="BC90" t="str">
            <v>AADTD-06.08.2026-(21B3)-JHUB</v>
          </cell>
          <cell r="BD90">
            <v>6750</v>
          </cell>
          <cell r="BE90">
            <v>6000</v>
          </cell>
          <cell r="BF90">
            <v>3703.6363636363635</v>
          </cell>
          <cell r="BG90">
            <v>0.1103</v>
          </cell>
          <cell r="BH90">
            <v>18000</v>
          </cell>
          <cell r="BI90">
            <v>4.8600883652430049</v>
          </cell>
          <cell r="BJ90">
            <v>1985.3999999999999</v>
          </cell>
          <cell r="BK90">
            <v>46210.160530191461</v>
          </cell>
          <cell r="BL90">
            <v>29.160530191458029</v>
          </cell>
          <cell r="BM90" t="str">
            <v>0</v>
          </cell>
          <cell r="BN90">
            <v>10000</v>
          </cell>
          <cell r="BO90">
            <v>9160</v>
          </cell>
          <cell r="BP90">
            <v>8320</v>
          </cell>
          <cell r="BQ90">
            <v>7480</v>
          </cell>
          <cell r="BR90">
            <v>6640</v>
          </cell>
          <cell r="BS90">
            <v>5800</v>
          </cell>
          <cell r="BT90">
            <v>4960</v>
          </cell>
          <cell r="BU90">
            <v>4120</v>
          </cell>
          <cell r="BV90">
            <v>3280</v>
          </cell>
          <cell r="BW90">
            <v>2440</v>
          </cell>
          <cell r="BY90" t="str">
            <v>EA</v>
          </cell>
        </row>
        <row r="91">
          <cell r="C91" t="str">
            <v>FC1Z0F2S9M01</v>
          </cell>
          <cell r="D91">
            <v>300</v>
          </cell>
          <cell r="E91" t="str">
            <v>HOSE-A/C FORMED-BARRIER GALAXY 4898 13/3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656</v>
          </cell>
          <cell r="N91">
            <v>344</v>
          </cell>
          <cell r="O91">
            <v>0</v>
          </cell>
          <cell r="P91">
            <v>2356</v>
          </cell>
          <cell r="Q91">
            <v>0</v>
          </cell>
          <cell r="R91">
            <v>1700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360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360</v>
          </cell>
          <cell r="AJ91">
            <v>360</v>
          </cell>
          <cell r="AK91">
            <v>360</v>
          </cell>
          <cell r="AL91">
            <v>360</v>
          </cell>
          <cell r="AM91">
            <v>600</v>
          </cell>
          <cell r="AN91">
            <v>240</v>
          </cell>
          <cell r="AO91">
            <v>600</v>
          </cell>
          <cell r="AP91">
            <v>360</v>
          </cell>
          <cell r="AQ91">
            <v>600</v>
          </cell>
          <cell r="AR91">
            <v>0</v>
          </cell>
          <cell r="AS91">
            <v>840</v>
          </cell>
          <cell r="AT91">
            <v>1340</v>
          </cell>
          <cell r="AW91">
            <v>5100005175</v>
          </cell>
          <cell r="AX91" t="str">
            <v>CONTITECH NORTH AMERICA,</v>
          </cell>
          <cell r="AY91" t="str">
            <v xml:space="preserve">US </v>
          </cell>
          <cell r="AZ91">
            <v>9</v>
          </cell>
          <cell r="BB91" t="str">
            <v>AADTD</v>
          </cell>
          <cell r="BC91" t="str">
            <v>AADTD-06.08.2026-(21B3)-EPDC</v>
          </cell>
          <cell r="BE91">
            <v>1000</v>
          </cell>
          <cell r="BF91">
            <v>349.09090909090907</v>
          </cell>
          <cell r="BG91">
            <v>2.63</v>
          </cell>
          <cell r="BH91">
            <v>1700</v>
          </cell>
          <cell r="BI91">
            <v>4.869791666666667</v>
          </cell>
          <cell r="BJ91">
            <v>4471</v>
          </cell>
          <cell r="BK91">
            <v>46210.21875</v>
          </cell>
          <cell r="BL91">
            <v>29.21875</v>
          </cell>
          <cell r="BM91" t="str">
            <v>0</v>
          </cell>
          <cell r="BN91">
            <v>1700</v>
          </cell>
          <cell r="BO91">
            <v>1700</v>
          </cell>
          <cell r="BP91">
            <v>1700</v>
          </cell>
          <cell r="BQ91">
            <v>1700</v>
          </cell>
          <cell r="BR91">
            <v>1700</v>
          </cell>
          <cell r="BS91">
            <v>1700</v>
          </cell>
          <cell r="BT91">
            <v>1700</v>
          </cell>
          <cell r="BU91">
            <v>1700</v>
          </cell>
          <cell r="BV91">
            <v>1700</v>
          </cell>
          <cell r="BW91">
            <v>1340</v>
          </cell>
          <cell r="BY91" t="str">
            <v>EA</v>
          </cell>
        </row>
        <row r="92">
          <cell r="C92" t="str">
            <v>1W1H-19E889-HAS300</v>
          </cell>
          <cell r="D92">
            <v>5000</v>
          </cell>
          <cell r="E92" t="str">
            <v>3/8in MSLC O'RING (DARK BLUE)</v>
          </cell>
          <cell r="F92">
            <v>0</v>
          </cell>
          <cell r="G92">
            <v>65725</v>
          </cell>
          <cell r="I92">
            <v>0</v>
          </cell>
          <cell r="M92">
            <v>-6535</v>
          </cell>
          <cell r="N92">
            <v>76535</v>
          </cell>
          <cell r="O92">
            <v>0</v>
          </cell>
          <cell r="Q92">
            <v>10000</v>
          </cell>
          <cell r="R92">
            <v>69000</v>
          </cell>
          <cell r="S92">
            <v>1810</v>
          </cell>
          <cell r="T92">
            <v>6008</v>
          </cell>
          <cell r="U92">
            <v>5522</v>
          </cell>
          <cell r="V92">
            <v>6766</v>
          </cell>
          <cell r="W92">
            <v>6122</v>
          </cell>
          <cell r="X92">
            <v>6666</v>
          </cell>
          <cell r="Y92">
            <v>0</v>
          </cell>
          <cell r="Z92">
            <v>0</v>
          </cell>
          <cell r="AA92">
            <v>5993</v>
          </cell>
          <cell r="AB92">
            <v>5484</v>
          </cell>
          <cell r="AC92">
            <v>6291</v>
          </cell>
          <cell r="AD92">
            <v>5551</v>
          </cell>
          <cell r="AE92">
            <v>6086</v>
          </cell>
          <cell r="AF92">
            <v>0</v>
          </cell>
          <cell r="AG92">
            <v>0</v>
          </cell>
          <cell r="AH92">
            <v>31084</v>
          </cell>
          <cell r="AI92">
            <v>29405</v>
          </cell>
          <cell r="AJ92">
            <v>29774</v>
          </cell>
          <cell r="AK92">
            <v>30780</v>
          </cell>
          <cell r="AL92">
            <v>29084</v>
          </cell>
          <cell r="AM92">
            <v>30283</v>
          </cell>
          <cell r="AN92">
            <v>28914</v>
          </cell>
          <cell r="AO92">
            <v>28267</v>
          </cell>
          <cell r="AP92">
            <v>28816</v>
          </cell>
          <cell r="AQ92">
            <v>31530</v>
          </cell>
          <cell r="AR92">
            <v>29676</v>
          </cell>
          <cell r="AS92">
            <v>30641</v>
          </cell>
          <cell r="AT92">
            <v>39595</v>
          </cell>
          <cell r="AW92">
            <v>5100001749</v>
          </cell>
          <cell r="AX92" t="str">
            <v>TRELLEBORG SEALING SOLUT</v>
          </cell>
          <cell r="AY92" t="str">
            <v xml:space="preserve">US </v>
          </cell>
          <cell r="AZ92">
            <v>9</v>
          </cell>
          <cell r="BB92" t="str">
            <v>AADTD</v>
          </cell>
          <cell r="BC92" t="str">
            <v>AADTD-06.08.2026-(21B3)-JHUB</v>
          </cell>
          <cell r="BE92">
            <v>70000</v>
          </cell>
          <cell r="BF92">
            <v>29783</v>
          </cell>
          <cell r="BG92">
            <v>2.52E-2</v>
          </cell>
          <cell r="BH92">
            <v>134725</v>
          </cell>
          <cell r="BI92">
            <v>4.5235537051338008</v>
          </cell>
          <cell r="BJ92">
            <v>3395.07</v>
          </cell>
          <cell r="BK92">
            <v>46208.141322230804</v>
          </cell>
          <cell r="BL92">
            <v>27.141322230802807</v>
          </cell>
          <cell r="BM92" t="str">
            <v>0</v>
          </cell>
          <cell r="BN92">
            <v>69000</v>
          </cell>
          <cell r="BO92">
            <v>62992</v>
          </cell>
          <cell r="BP92">
            <v>57470</v>
          </cell>
          <cell r="BQ92">
            <v>50704</v>
          </cell>
          <cell r="BR92">
            <v>44582</v>
          </cell>
          <cell r="BS92">
            <v>37916</v>
          </cell>
          <cell r="BT92">
            <v>31923</v>
          </cell>
          <cell r="BU92">
            <v>26439</v>
          </cell>
          <cell r="BV92">
            <v>20148</v>
          </cell>
          <cell r="BW92">
            <v>14597</v>
          </cell>
          <cell r="BX92" t="str">
            <v>1W1H-19E889-HAS300</v>
          </cell>
          <cell r="BY92" t="str">
            <v>EA</v>
          </cell>
        </row>
        <row r="93">
          <cell r="C93" t="str">
            <v>VPDG9H-19E778-FA</v>
          </cell>
          <cell r="D93">
            <v>1500</v>
          </cell>
          <cell r="E93" t="str">
            <v>SHP'G/CAP-MSF-5/8" MaleFemale MSF Loop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16316</v>
          </cell>
          <cell r="N93">
            <v>18684</v>
          </cell>
          <cell r="O93">
            <v>0</v>
          </cell>
          <cell r="P93">
            <v>37316</v>
          </cell>
          <cell r="Q93">
            <v>10500</v>
          </cell>
          <cell r="R93">
            <v>25500</v>
          </cell>
          <cell r="S93">
            <v>2044</v>
          </cell>
          <cell r="T93">
            <v>1044</v>
          </cell>
          <cell r="U93">
            <v>1332</v>
          </cell>
          <cell r="V93">
            <v>1368</v>
          </cell>
          <cell r="W93">
            <v>1398</v>
          </cell>
          <cell r="X93">
            <v>1188</v>
          </cell>
          <cell r="Y93">
            <v>0</v>
          </cell>
          <cell r="Z93">
            <v>0</v>
          </cell>
          <cell r="AA93">
            <v>1260</v>
          </cell>
          <cell r="AB93">
            <v>1368</v>
          </cell>
          <cell r="AC93">
            <v>1082</v>
          </cell>
          <cell r="AD93">
            <v>1288</v>
          </cell>
          <cell r="AE93">
            <v>1072</v>
          </cell>
          <cell r="AF93">
            <v>0</v>
          </cell>
          <cell r="AG93">
            <v>0</v>
          </cell>
          <cell r="AH93">
            <v>6330</v>
          </cell>
          <cell r="AI93">
            <v>6070</v>
          </cell>
          <cell r="AJ93">
            <v>5792</v>
          </cell>
          <cell r="AK93">
            <v>5648</v>
          </cell>
          <cell r="AL93">
            <v>4744</v>
          </cell>
          <cell r="AM93">
            <v>5612</v>
          </cell>
          <cell r="AN93">
            <v>5704</v>
          </cell>
          <cell r="AO93">
            <v>5869</v>
          </cell>
          <cell r="AP93">
            <v>5590</v>
          </cell>
          <cell r="AQ93">
            <v>5951</v>
          </cell>
          <cell r="AR93">
            <v>5898</v>
          </cell>
          <cell r="AS93">
            <v>5613</v>
          </cell>
          <cell r="AT93">
            <v>19430</v>
          </cell>
          <cell r="AW93">
            <v>5100002097</v>
          </cell>
          <cell r="AX93" t="str">
            <v>POLYMER MOLDING INC</v>
          </cell>
          <cell r="AY93" t="str">
            <v xml:space="preserve">US </v>
          </cell>
          <cell r="AZ93">
            <v>9</v>
          </cell>
          <cell r="BB93" t="str">
            <v>AADTD</v>
          </cell>
          <cell r="BC93" t="str">
            <v>AADTD-06.08.2026-(21B3)-EPDC</v>
          </cell>
          <cell r="BE93">
            <v>35000</v>
          </cell>
          <cell r="BF93">
            <v>5746.181818181818</v>
          </cell>
          <cell r="BG93">
            <v>4.2349999999999999E-2</v>
          </cell>
          <cell r="BH93">
            <v>25500</v>
          </cell>
          <cell r="BI93">
            <v>4.4377294013416027</v>
          </cell>
          <cell r="BJ93">
            <v>1079.925</v>
          </cell>
          <cell r="BK93">
            <v>46207.62637640805</v>
          </cell>
          <cell r="BL93">
            <v>26.626376408049616</v>
          </cell>
          <cell r="BM93" t="str">
            <v>0</v>
          </cell>
          <cell r="BN93">
            <v>25500</v>
          </cell>
          <cell r="BO93">
            <v>24456</v>
          </cell>
          <cell r="BP93">
            <v>23124</v>
          </cell>
          <cell r="BQ93">
            <v>21756</v>
          </cell>
          <cell r="BR93">
            <v>20358</v>
          </cell>
          <cell r="BS93">
            <v>19170</v>
          </cell>
          <cell r="BT93">
            <v>17910</v>
          </cell>
          <cell r="BU93">
            <v>16542</v>
          </cell>
          <cell r="BV93">
            <v>15460</v>
          </cell>
          <cell r="BW93">
            <v>14172</v>
          </cell>
          <cell r="BX93" t="str">
            <v>VPDG9H-19E778-FA</v>
          </cell>
          <cell r="BY93" t="str">
            <v>EA</v>
          </cell>
        </row>
        <row r="94">
          <cell r="C94" t="str">
            <v>FC1A3F2S6T01</v>
          </cell>
          <cell r="D94">
            <v>300</v>
          </cell>
          <cell r="E94" t="str">
            <v>SLV ABRAS BRD MONOFI D19_T0.8_L0490</v>
          </cell>
          <cell r="F94">
            <v>0</v>
          </cell>
          <cell r="G94">
            <v>3600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101</v>
          </cell>
          <cell r="N94">
            <v>4899</v>
          </cell>
          <cell r="O94">
            <v>0</v>
          </cell>
          <cell r="P94">
            <v>6101</v>
          </cell>
          <cell r="Q94">
            <v>0</v>
          </cell>
          <cell r="R94">
            <v>3300</v>
          </cell>
          <cell r="S94">
            <v>0</v>
          </cell>
          <cell r="T94">
            <v>0</v>
          </cell>
          <cell r="U94">
            <v>1050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1350</v>
          </cell>
          <cell r="AC94">
            <v>0</v>
          </cell>
          <cell r="AD94">
            <v>0</v>
          </cell>
          <cell r="AE94">
            <v>600</v>
          </cell>
          <cell r="AF94">
            <v>0</v>
          </cell>
          <cell r="AG94">
            <v>0</v>
          </cell>
          <cell r="AH94">
            <v>1050</v>
          </cell>
          <cell r="AI94">
            <v>1950</v>
          </cell>
          <cell r="AJ94">
            <v>900</v>
          </cell>
          <cell r="AK94">
            <v>600</v>
          </cell>
          <cell r="AL94">
            <v>1508</v>
          </cell>
          <cell r="AM94">
            <v>1950</v>
          </cell>
          <cell r="AN94">
            <v>1750</v>
          </cell>
          <cell r="AO94">
            <v>1050</v>
          </cell>
          <cell r="AP94">
            <v>1050</v>
          </cell>
          <cell r="AQ94">
            <v>1650</v>
          </cell>
          <cell r="AR94">
            <v>1800</v>
          </cell>
          <cell r="AS94">
            <v>1800</v>
          </cell>
          <cell r="AT94">
            <v>1350</v>
          </cell>
          <cell r="AW94">
            <v>5100005155</v>
          </cell>
          <cell r="AX94" t="str">
            <v xml:space="preserve">FEDERAL-MOGUL POWERTRAIN- Qro </v>
          </cell>
          <cell r="AY94" t="str">
            <v xml:space="preserve">US </v>
          </cell>
          <cell r="AZ94">
            <v>9</v>
          </cell>
          <cell r="BB94" t="str">
            <v>AADTD</v>
          </cell>
          <cell r="BC94" t="str">
            <v>AADTD-06.08.2026-(21B3)-JHUB</v>
          </cell>
          <cell r="BD94">
            <v>600</v>
          </cell>
          <cell r="BE94">
            <v>5000</v>
          </cell>
          <cell r="BF94">
            <v>1387.090909090909</v>
          </cell>
          <cell r="BG94">
            <v>0.38789999999999997</v>
          </cell>
          <cell r="BH94">
            <v>6900</v>
          </cell>
          <cell r="BI94">
            <v>4.974439638222572</v>
          </cell>
          <cell r="BJ94">
            <v>2676.5099999999998</v>
          </cell>
          <cell r="BK94">
            <v>46210.846637829338</v>
          </cell>
          <cell r="BL94">
            <v>29.846637829335432</v>
          </cell>
          <cell r="BM94" t="str">
            <v>0</v>
          </cell>
          <cell r="BN94">
            <v>3300</v>
          </cell>
          <cell r="BO94">
            <v>3300</v>
          </cell>
          <cell r="BP94">
            <v>2250</v>
          </cell>
          <cell r="BQ94">
            <v>2250</v>
          </cell>
          <cell r="BR94">
            <v>2250</v>
          </cell>
          <cell r="BS94">
            <v>2250</v>
          </cell>
          <cell r="BT94">
            <v>2250</v>
          </cell>
          <cell r="BU94">
            <v>900</v>
          </cell>
          <cell r="BV94">
            <v>900</v>
          </cell>
          <cell r="BW94">
            <v>900</v>
          </cell>
          <cell r="BX94" t="str">
            <v>FC1A3F2S6T01</v>
          </cell>
          <cell r="BY94" t="str">
            <v>EA</v>
          </cell>
        </row>
        <row r="95">
          <cell r="C95" t="str">
            <v>VP9GCH-19A593-EC</v>
          </cell>
          <cell r="D95">
            <v>5000</v>
          </cell>
          <cell r="E95" t="str">
            <v>GASKET A/C LINE SEALING MSF 8MM</v>
          </cell>
          <cell r="F95">
            <v>0</v>
          </cell>
          <cell r="G95">
            <v>75000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93549</v>
          </cell>
          <cell r="N95">
            <v>66451</v>
          </cell>
          <cell r="O95">
            <v>0</v>
          </cell>
          <cell r="P95">
            <v>206549</v>
          </cell>
          <cell r="Q95">
            <v>60000</v>
          </cell>
          <cell r="R95">
            <v>90000</v>
          </cell>
          <cell r="S95">
            <v>2183</v>
          </cell>
          <cell r="T95">
            <v>6546</v>
          </cell>
          <cell r="U95">
            <v>7312</v>
          </cell>
          <cell r="V95">
            <v>7896</v>
          </cell>
          <cell r="W95">
            <v>8554</v>
          </cell>
          <cell r="X95">
            <v>8028</v>
          </cell>
          <cell r="Y95">
            <v>0</v>
          </cell>
          <cell r="Z95">
            <v>0</v>
          </cell>
          <cell r="AA95">
            <v>7702</v>
          </cell>
          <cell r="AB95">
            <v>8498</v>
          </cell>
          <cell r="AC95">
            <v>7214</v>
          </cell>
          <cell r="AD95">
            <v>7730</v>
          </cell>
          <cell r="AE95">
            <v>7842</v>
          </cell>
          <cell r="AF95">
            <v>0</v>
          </cell>
          <cell r="AG95">
            <v>0</v>
          </cell>
          <cell r="AH95">
            <v>38336</v>
          </cell>
          <cell r="AI95">
            <v>38986</v>
          </cell>
          <cell r="AJ95">
            <v>39313</v>
          </cell>
          <cell r="AK95">
            <v>38017</v>
          </cell>
          <cell r="AL95">
            <v>37294</v>
          </cell>
          <cell r="AM95">
            <v>34926</v>
          </cell>
          <cell r="AN95">
            <v>35955</v>
          </cell>
          <cell r="AO95">
            <v>35928</v>
          </cell>
          <cell r="AP95">
            <v>35514</v>
          </cell>
          <cell r="AQ95">
            <v>34760</v>
          </cell>
          <cell r="AR95">
            <v>34052</v>
          </cell>
          <cell r="AS95">
            <v>34165</v>
          </cell>
          <cell r="AT95">
            <v>51014</v>
          </cell>
          <cell r="AW95">
            <v>5100001846</v>
          </cell>
          <cell r="AX95" t="str">
            <v>PARKER HANNIFIN CORPORAT</v>
          </cell>
          <cell r="AY95" t="str">
            <v xml:space="preserve">US </v>
          </cell>
          <cell r="AZ95">
            <v>9</v>
          </cell>
          <cell r="BB95" t="str">
            <v>AADTD</v>
          </cell>
          <cell r="BC95" t="str">
            <v>AADTD-06.08.2026-(21B3)-JHUB</v>
          </cell>
          <cell r="BD95">
            <v>10000</v>
          </cell>
          <cell r="BE95">
            <v>160000</v>
          </cell>
          <cell r="BF95">
            <v>36643.727272727272</v>
          </cell>
          <cell r="BG95">
            <v>0.23</v>
          </cell>
          <cell r="BH95">
            <v>165000</v>
          </cell>
          <cell r="BI95">
            <v>4.5028170516595925</v>
          </cell>
          <cell r="BJ95">
            <v>37950</v>
          </cell>
          <cell r="BK95">
            <v>46208.016902309959</v>
          </cell>
          <cell r="BL95">
            <v>27.016902309957555</v>
          </cell>
          <cell r="BM95" t="str">
            <v>0</v>
          </cell>
          <cell r="BN95">
            <v>90000</v>
          </cell>
          <cell r="BO95">
            <v>83454</v>
          </cell>
          <cell r="BP95">
            <v>76142</v>
          </cell>
          <cell r="BQ95">
            <v>68246</v>
          </cell>
          <cell r="BR95">
            <v>59692</v>
          </cell>
          <cell r="BS95">
            <v>51664</v>
          </cell>
          <cell r="BT95">
            <v>43962</v>
          </cell>
          <cell r="BU95">
            <v>35464</v>
          </cell>
          <cell r="BV95">
            <v>28250</v>
          </cell>
          <cell r="BW95">
            <v>20520</v>
          </cell>
          <cell r="BX95" t="str">
            <v>VP9GCH-19A593-EC</v>
          </cell>
          <cell r="BY95" t="str">
            <v>EA</v>
          </cell>
        </row>
        <row r="96">
          <cell r="C96" t="str">
            <v>FC2C5F2S4T02</v>
          </cell>
          <cell r="D96">
            <v>1000</v>
          </cell>
          <cell r="E96" t="str">
            <v>GROMMET-A/C TUBE BRKT</v>
          </cell>
          <cell r="F96">
            <v>0</v>
          </cell>
          <cell r="G96">
            <v>8000</v>
          </cell>
          <cell r="I96">
            <v>0</v>
          </cell>
          <cell r="M96">
            <v>2234</v>
          </cell>
          <cell r="N96">
            <v>6266</v>
          </cell>
          <cell r="O96">
            <v>0</v>
          </cell>
          <cell r="Q96">
            <v>5000</v>
          </cell>
          <cell r="R96">
            <v>6800</v>
          </cell>
          <cell r="S96">
            <v>794</v>
          </cell>
          <cell r="T96">
            <v>910</v>
          </cell>
          <cell r="U96">
            <v>1430</v>
          </cell>
          <cell r="V96">
            <v>1</v>
          </cell>
          <cell r="W96">
            <v>1006</v>
          </cell>
          <cell r="X96">
            <v>393</v>
          </cell>
          <cell r="Y96">
            <v>0</v>
          </cell>
          <cell r="Z96">
            <v>0</v>
          </cell>
          <cell r="AA96">
            <v>579</v>
          </cell>
          <cell r="AB96">
            <v>443</v>
          </cell>
          <cell r="AC96">
            <v>1050</v>
          </cell>
          <cell r="AD96">
            <v>174</v>
          </cell>
          <cell r="AE96">
            <v>1088</v>
          </cell>
          <cell r="AF96">
            <v>0</v>
          </cell>
          <cell r="AG96">
            <v>0</v>
          </cell>
          <cell r="AH96">
            <v>3740</v>
          </cell>
          <cell r="AI96">
            <v>3334</v>
          </cell>
          <cell r="AJ96">
            <v>2923</v>
          </cell>
          <cell r="AK96">
            <v>3252</v>
          </cell>
          <cell r="AL96">
            <v>3359</v>
          </cell>
          <cell r="AM96">
            <v>3151</v>
          </cell>
          <cell r="AN96">
            <v>3071</v>
          </cell>
          <cell r="AO96">
            <v>2929</v>
          </cell>
          <cell r="AP96">
            <v>2759</v>
          </cell>
          <cell r="AQ96">
            <v>3136</v>
          </cell>
          <cell r="AR96">
            <v>3143</v>
          </cell>
          <cell r="AS96">
            <v>3380</v>
          </cell>
          <cell r="AT96">
            <v>3466</v>
          </cell>
          <cell r="AW96">
            <v>5100001970</v>
          </cell>
          <cell r="AX96" t="str">
            <v>SINCLAIR &amp; RUSH, INC.</v>
          </cell>
          <cell r="AY96" t="str">
            <v xml:space="preserve">US </v>
          </cell>
          <cell r="AZ96">
            <v>9</v>
          </cell>
          <cell r="BB96" t="str">
            <v>AADTD</v>
          </cell>
          <cell r="BC96" t="str">
            <v>AADTD-06.08.2026-(21B3)-JHUB</v>
          </cell>
          <cell r="BE96">
            <v>8500</v>
          </cell>
          <cell r="BF96">
            <v>3163.3636363636365</v>
          </cell>
          <cell r="BG96">
            <v>0.3266</v>
          </cell>
          <cell r="BH96">
            <v>14800</v>
          </cell>
          <cell r="BI96">
            <v>4.6785642440440265</v>
          </cell>
          <cell r="BJ96">
            <v>4833.68</v>
          </cell>
          <cell r="BK96">
            <v>46209.071385464267</v>
          </cell>
          <cell r="BL96">
            <v>28.071385464264161</v>
          </cell>
          <cell r="BM96" t="str">
            <v>0</v>
          </cell>
          <cell r="BN96">
            <v>6800</v>
          </cell>
          <cell r="BO96">
            <v>5890</v>
          </cell>
          <cell r="BP96">
            <v>4460</v>
          </cell>
          <cell r="BQ96">
            <v>4459</v>
          </cell>
          <cell r="BR96">
            <v>3453</v>
          </cell>
          <cell r="BS96">
            <v>3060</v>
          </cell>
          <cell r="BT96">
            <v>2481</v>
          </cell>
          <cell r="BU96">
            <v>2038</v>
          </cell>
          <cell r="BV96">
            <v>988</v>
          </cell>
          <cell r="BW96">
            <v>814</v>
          </cell>
          <cell r="BX96" t="str">
            <v>FC2C5F2S4T02</v>
          </cell>
          <cell r="BY96" t="str">
            <v>EA</v>
          </cell>
        </row>
        <row r="97">
          <cell r="C97" t="str">
            <v>FC2C5F2S7T02</v>
          </cell>
          <cell r="D97">
            <v>1000</v>
          </cell>
          <cell r="E97" t="str">
            <v>GROMMET-A/C TUBE BRKT</v>
          </cell>
          <cell r="F97">
            <v>0</v>
          </cell>
          <cell r="G97">
            <v>8000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-528</v>
          </cell>
          <cell r="N97">
            <v>4528</v>
          </cell>
          <cell r="O97">
            <v>0</v>
          </cell>
          <cell r="P97">
            <v>10972</v>
          </cell>
          <cell r="Q97">
            <v>0</v>
          </cell>
          <cell r="R97">
            <v>2000</v>
          </cell>
          <cell r="S97">
            <v>800</v>
          </cell>
          <cell r="T97">
            <v>384</v>
          </cell>
          <cell r="U97">
            <v>256</v>
          </cell>
          <cell r="V97">
            <v>704</v>
          </cell>
          <cell r="W97">
            <v>352</v>
          </cell>
          <cell r="X97">
            <v>256</v>
          </cell>
          <cell r="Y97">
            <v>0</v>
          </cell>
          <cell r="Z97">
            <v>0</v>
          </cell>
          <cell r="AA97">
            <v>512</v>
          </cell>
          <cell r="AB97">
            <v>256</v>
          </cell>
          <cell r="AC97">
            <v>256</v>
          </cell>
          <cell r="AD97">
            <v>448</v>
          </cell>
          <cell r="AE97">
            <v>256</v>
          </cell>
          <cell r="AF97">
            <v>0</v>
          </cell>
          <cell r="AG97">
            <v>0</v>
          </cell>
          <cell r="AH97">
            <v>1952</v>
          </cell>
          <cell r="AI97">
            <v>1728</v>
          </cell>
          <cell r="AJ97">
            <v>1728</v>
          </cell>
          <cell r="AK97">
            <v>1904</v>
          </cell>
          <cell r="AL97">
            <v>1632</v>
          </cell>
          <cell r="AM97">
            <v>1904</v>
          </cell>
          <cell r="AN97">
            <v>1728</v>
          </cell>
          <cell r="AO97">
            <v>2304</v>
          </cell>
          <cell r="AP97">
            <v>2560</v>
          </cell>
          <cell r="AQ97">
            <v>2048</v>
          </cell>
          <cell r="AR97">
            <v>2176</v>
          </cell>
          <cell r="AS97">
            <v>2176</v>
          </cell>
          <cell r="AT97">
            <v>272</v>
          </cell>
          <cell r="AW97">
            <v>5100001970</v>
          </cell>
          <cell r="AX97" t="str">
            <v>SINCLAIR &amp; RUSH, INC.</v>
          </cell>
          <cell r="AY97" t="str">
            <v xml:space="preserve">US </v>
          </cell>
          <cell r="AZ97">
            <v>9</v>
          </cell>
          <cell r="BB97" t="str">
            <v>AADTD</v>
          </cell>
          <cell r="BC97" t="str">
            <v>AADTD-06.08.2026-(21B3)-JHUB</v>
          </cell>
          <cell r="BE97">
            <v>4000</v>
          </cell>
          <cell r="BF97">
            <v>1969.4545454545455</v>
          </cell>
          <cell r="BG97">
            <v>0.22119999999999998</v>
          </cell>
          <cell r="BH97">
            <v>10000</v>
          </cell>
          <cell r="BI97">
            <v>5.0775480059084197</v>
          </cell>
          <cell r="BJ97">
            <v>2212</v>
          </cell>
          <cell r="BK97">
            <v>46211.465288035448</v>
          </cell>
          <cell r="BL97">
            <v>30.46528803545052</v>
          </cell>
          <cell r="BM97" t="str">
            <v>0</v>
          </cell>
          <cell r="BN97">
            <v>2000</v>
          </cell>
          <cell r="BO97">
            <v>1616</v>
          </cell>
          <cell r="BP97">
            <v>1360</v>
          </cell>
          <cell r="BQ97">
            <v>656</v>
          </cell>
          <cell r="BR97">
            <v>304</v>
          </cell>
          <cell r="BS97">
            <v>48</v>
          </cell>
          <cell r="BT97">
            <v>-464</v>
          </cell>
          <cell r="BU97">
            <v>-720</v>
          </cell>
          <cell r="BV97">
            <v>-976</v>
          </cell>
          <cell r="BW97">
            <v>-1424</v>
          </cell>
          <cell r="BY97" t="str">
            <v>EA</v>
          </cell>
        </row>
        <row r="98">
          <cell r="C98" t="str">
            <v>VP6L1H-19D701-AA</v>
          </cell>
          <cell r="D98">
            <v>5000</v>
          </cell>
          <cell r="E98" t="str">
            <v>VALVE CORE - A/C CHARGE VALVE</v>
          </cell>
          <cell r="F98">
            <v>0</v>
          </cell>
          <cell r="G98">
            <v>50000</v>
          </cell>
          <cell r="I98">
            <v>0</v>
          </cell>
          <cell r="M98">
            <v>24676</v>
          </cell>
          <cell r="N98">
            <v>75324</v>
          </cell>
          <cell r="O98">
            <v>0</v>
          </cell>
          <cell r="Q98">
            <v>20000</v>
          </cell>
          <cell r="R98">
            <v>85000</v>
          </cell>
          <cell r="S98">
            <v>2144</v>
          </cell>
          <cell r="T98">
            <v>5428</v>
          </cell>
          <cell r="U98">
            <v>4942</v>
          </cell>
          <cell r="V98">
            <v>5606</v>
          </cell>
          <cell r="W98">
            <v>4962</v>
          </cell>
          <cell r="X98">
            <v>5509</v>
          </cell>
          <cell r="Y98">
            <v>0</v>
          </cell>
          <cell r="Z98">
            <v>0</v>
          </cell>
          <cell r="AA98">
            <v>5413</v>
          </cell>
          <cell r="AB98">
            <v>4904</v>
          </cell>
          <cell r="AC98">
            <v>5711</v>
          </cell>
          <cell r="AD98">
            <v>4971</v>
          </cell>
          <cell r="AE98">
            <v>5509</v>
          </cell>
          <cell r="AF98">
            <v>0</v>
          </cell>
          <cell r="AG98">
            <v>0</v>
          </cell>
          <cell r="AH98">
            <v>26447</v>
          </cell>
          <cell r="AI98">
            <v>26508</v>
          </cell>
          <cell r="AJ98">
            <v>26295</v>
          </cell>
          <cell r="AK98">
            <v>27847</v>
          </cell>
          <cell r="AL98">
            <v>25966</v>
          </cell>
          <cell r="AM98">
            <v>27383</v>
          </cell>
          <cell r="AN98">
            <v>25829</v>
          </cell>
          <cell r="AO98">
            <v>25938</v>
          </cell>
          <cell r="AP98">
            <v>25772</v>
          </cell>
          <cell r="AQ98">
            <v>27169</v>
          </cell>
          <cell r="AR98">
            <v>26140</v>
          </cell>
          <cell r="AS98">
            <v>27536</v>
          </cell>
          <cell r="AT98">
            <v>58492</v>
          </cell>
          <cell r="AW98">
            <v>5100001876</v>
          </cell>
          <cell r="AX98" t="str">
            <v>SCHRADER BRIDGEPORT INTE</v>
          </cell>
          <cell r="AY98" t="str">
            <v xml:space="preserve">US </v>
          </cell>
          <cell r="AZ98">
            <v>9</v>
          </cell>
          <cell r="BB98" t="str">
            <v>AADTD</v>
          </cell>
          <cell r="BC98" t="str">
            <v>AADTD-06.08.2026-(21B3)-JHUB</v>
          </cell>
          <cell r="BD98">
            <v>700</v>
          </cell>
          <cell r="BE98">
            <v>100000</v>
          </cell>
          <cell r="BF98">
            <v>26481.272727272728</v>
          </cell>
          <cell r="BG98">
            <v>0.11</v>
          </cell>
          <cell r="BH98">
            <v>135000</v>
          </cell>
          <cell r="BI98">
            <v>5.0979422851140086</v>
          </cell>
          <cell r="BJ98">
            <v>14850</v>
          </cell>
          <cell r="BK98">
            <v>46211.587653710681</v>
          </cell>
          <cell r="BL98">
            <v>30.587653710684052</v>
          </cell>
          <cell r="BM98" t="str">
            <v>0</v>
          </cell>
          <cell r="BN98">
            <v>85000</v>
          </cell>
          <cell r="BO98">
            <v>79572</v>
          </cell>
          <cell r="BP98">
            <v>74630</v>
          </cell>
          <cell r="BQ98">
            <v>69024</v>
          </cell>
          <cell r="BR98">
            <v>64062</v>
          </cell>
          <cell r="BS98">
            <v>58553</v>
          </cell>
          <cell r="BT98">
            <v>53140</v>
          </cell>
          <cell r="BU98">
            <v>48236</v>
          </cell>
          <cell r="BV98">
            <v>42525</v>
          </cell>
          <cell r="BW98">
            <v>37554</v>
          </cell>
          <cell r="BX98" t="str">
            <v>VP6L1H-19D701-AA</v>
          </cell>
          <cell r="BY98" t="str">
            <v>EA</v>
          </cell>
        </row>
        <row r="99">
          <cell r="C99" t="str">
            <v>FC2B1F2STB01</v>
          </cell>
          <cell r="D99">
            <v>175</v>
          </cell>
          <cell r="E99" t="str">
            <v>BRKT/CLIP-A/C LINE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437</v>
          </cell>
          <cell r="N99">
            <v>3063</v>
          </cell>
          <cell r="O99">
            <v>0</v>
          </cell>
          <cell r="P99">
            <v>11812</v>
          </cell>
          <cell r="Q99">
            <v>0</v>
          </cell>
          <cell r="R99">
            <v>9275</v>
          </cell>
          <cell r="S99">
            <v>800</v>
          </cell>
          <cell r="T99">
            <v>384</v>
          </cell>
          <cell r="U99">
            <v>256</v>
          </cell>
          <cell r="V99">
            <v>704</v>
          </cell>
          <cell r="W99">
            <v>352</v>
          </cell>
          <cell r="X99">
            <v>256</v>
          </cell>
          <cell r="Y99">
            <v>0</v>
          </cell>
          <cell r="Z99">
            <v>0</v>
          </cell>
          <cell r="AA99">
            <v>512</v>
          </cell>
          <cell r="AB99">
            <v>256</v>
          </cell>
          <cell r="AC99">
            <v>256</v>
          </cell>
          <cell r="AD99">
            <v>448</v>
          </cell>
          <cell r="AE99">
            <v>256</v>
          </cell>
          <cell r="AF99">
            <v>0</v>
          </cell>
          <cell r="AG99">
            <v>0</v>
          </cell>
          <cell r="AH99">
            <v>1952</v>
          </cell>
          <cell r="AI99">
            <v>1728</v>
          </cell>
          <cell r="AJ99">
            <v>1728</v>
          </cell>
          <cell r="AK99">
            <v>1904</v>
          </cell>
          <cell r="AL99">
            <v>1632</v>
          </cell>
          <cell r="AM99">
            <v>1904</v>
          </cell>
          <cell r="AN99">
            <v>1728</v>
          </cell>
          <cell r="AO99">
            <v>2304</v>
          </cell>
          <cell r="AP99">
            <v>2560</v>
          </cell>
          <cell r="AQ99">
            <v>2048</v>
          </cell>
          <cell r="AR99">
            <v>2176</v>
          </cell>
          <cell r="AS99">
            <v>2176</v>
          </cell>
          <cell r="AT99">
            <v>7547</v>
          </cell>
          <cell r="AW99">
            <v>5100001774</v>
          </cell>
          <cell r="AX99" t="str">
            <v>PRECISE TOOL &amp; DIE LIMIT</v>
          </cell>
          <cell r="AY99" t="str">
            <v xml:space="preserve">CA </v>
          </cell>
          <cell r="AZ99">
            <v>11</v>
          </cell>
          <cell r="BB99" t="str">
            <v>AADTD</v>
          </cell>
          <cell r="BC99" t="str">
            <v>AADTD-06.08.2026-(21B3)-EPDC</v>
          </cell>
          <cell r="BE99">
            <v>3500</v>
          </cell>
          <cell r="BF99">
            <v>1969.4545454545455</v>
          </cell>
          <cell r="BG99">
            <v>0.623</v>
          </cell>
          <cell r="BH99">
            <v>9275</v>
          </cell>
          <cell r="BI99">
            <v>4.7094257754800593</v>
          </cell>
          <cell r="BJ99">
            <v>5778.3249999999998</v>
          </cell>
          <cell r="BK99">
            <v>46209.256554652879</v>
          </cell>
          <cell r="BL99">
            <v>28.256554652880354</v>
          </cell>
          <cell r="BM99" t="str">
            <v>0</v>
          </cell>
          <cell r="BN99">
            <v>9275</v>
          </cell>
          <cell r="BO99">
            <v>8891</v>
          </cell>
          <cell r="BP99">
            <v>8635</v>
          </cell>
          <cell r="BQ99">
            <v>7931</v>
          </cell>
          <cell r="BR99">
            <v>7579</v>
          </cell>
          <cell r="BS99">
            <v>7323</v>
          </cell>
          <cell r="BT99">
            <v>6811</v>
          </cell>
          <cell r="BU99">
            <v>6555</v>
          </cell>
          <cell r="BV99">
            <v>6299</v>
          </cell>
          <cell r="BW99">
            <v>5851</v>
          </cell>
          <cell r="BY99" t="str">
            <v>EA</v>
          </cell>
        </row>
        <row r="100">
          <cell r="C100" t="str">
            <v>F885-YEHAA-01</v>
          </cell>
          <cell r="D100">
            <v>600</v>
          </cell>
          <cell r="E100" t="str">
            <v>CAP-TXV SHIPP'G GM TXV</v>
          </cell>
          <cell r="F100">
            <v>0</v>
          </cell>
          <cell r="G100">
            <v>4200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451</v>
          </cell>
          <cell r="N100">
            <v>4549</v>
          </cell>
          <cell r="O100">
            <v>0</v>
          </cell>
          <cell r="P100">
            <v>8251</v>
          </cell>
          <cell r="Q100">
            <v>600</v>
          </cell>
          <cell r="R100">
            <v>3520</v>
          </cell>
          <cell r="S100">
            <v>72</v>
          </cell>
          <cell r="T100">
            <v>288</v>
          </cell>
          <cell r="U100">
            <v>288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288</v>
          </cell>
          <cell r="AB100">
            <v>288</v>
          </cell>
          <cell r="AC100">
            <v>288</v>
          </cell>
          <cell r="AD100">
            <v>288</v>
          </cell>
          <cell r="AE100">
            <v>288</v>
          </cell>
          <cell r="AF100">
            <v>0</v>
          </cell>
          <cell r="AG100">
            <v>0</v>
          </cell>
          <cell r="AH100">
            <v>576</v>
          </cell>
          <cell r="AI100">
            <v>1440</v>
          </cell>
          <cell r="AJ100">
            <v>1152</v>
          </cell>
          <cell r="AK100">
            <v>1440</v>
          </cell>
          <cell r="AL100">
            <v>1440</v>
          </cell>
          <cell r="AM100">
            <v>1440</v>
          </cell>
          <cell r="AN100">
            <v>1532</v>
          </cell>
          <cell r="AO100">
            <v>1733</v>
          </cell>
          <cell r="AP100">
            <v>1490</v>
          </cell>
          <cell r="AQ100">
            <v>1851</v>
          </cell>
          <cell r="AR100">
            <v>1474</v>
          </cell>
          <cell r="AS100">
            <v>1801</v>
          </cell>
          <cell r="AT100">
            <v>2080</v>
          </cell>
          <cell r="AW100">
            <v>5100001703</v>
          </cell>
          <cell r="AX100" t="str">
            <v>VPI AQUISITION LLC DBA V</v>
          </cell>
          <cell r="AY100" t="str">
            <v xml:space="preserve">US </v>
          </cell>
          <cell r="AZ100">
            <v>9</v>
          </cell>
          <cell r="BB100" t="str">
            <v>AADTD</v>
          </cell>
          <cell r="BC100" t="str">
            <v>AADTD-06.08.2026-(21B3)-JHUB</v>
          </cell>
          <cell r="BE100">
            <v>5000</v>
          </cell>
          <cell r="BF100">
            <v>1415.2727272727273</v>
          </cell>
          <cell r="BG100">
            <v>0.17660000000000001</v>
          </cell>
          <cell r="BH100">
            <v>7720</v>
          </cell>
          <cell r="BI100">
            <v>5.4547790339157247</v>
          </cell>
          <cell r="BJ100">
            <v>1363.3520000000001</v>
          </cell>
          <cell r="BK100">
            <v>46213.728674203492</v>
          </cell>
          <cell r="BL100">
            <v>32.72867420349435</v>
          </cell>
          <cell r="BM100" t="str">
            <v>0</v>
          </cell>
          <cell r="BN100">
            <v>3520</v>
          </cell>
          <cell r="BO100">
            <v>3232</v>
          </cell>
          <cell r="BP100">
            <v>2944</v>
          </cell>
          <cell r="BQ100">
            <v>2944</v>
          </cell>
          <cell r="BR100">
            <v>2944</v>
          </cell>
          <cell r="BS100">
            <v>2944</v>
          </cell>
          <cell r="BT100">
            <v>2656</v>
          </cell>
          <cell r="BU100">
            <v>2368</v>
          </cell>
          <cell r="BV100">
            <v>2080</v>
          </cell>
          <cell r="BW100">
            <v>1792</v>
          </cell>
          <cell r="BY100" t="str">
            <v>EA</v>
          </cell>
        </row>
        <row r="101">
          <cell r="C101" t="str">
            <v>FC2C5F2S8T02</v>
          </cell>
          <cell r="D101">
            <v>500</v>
          </cell>
          <cell r="E101" t="str">
            <v>GROMMET-A/C TUBE BRKT</v>
          </cell>
          <cell r="F101">
            <v>0</v>
          </cell>
          <cell r="G101">
            <v>5000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-226</v>
          </cell>
          <cell r="N101">
            <v>4226</v>
          </cell>
          <cell r="O101">
            <v>0</v>
          </cell>
          <cell r="P101">
            <v>7774</v>
          </cell>
          <cell r="Q101">
            <v>5000</v>
          </cell>
          <cell r="R101">
            <v>3800</v>
          </cell>
          <cell r="S101">
            <v>720</v>
          </cell>
          <cell r="T101">
            <v>144</v>
          </cell>
          <cell r="U101">
            <v>0</v>
          </cell>
          <cell r="V101">
            <v>1044</v>
          </cell>
          <cell r="W101">
            <v>0</v>
          </cell>
          <cell r="X101">
            <v>660</v>
          </cell>
          <cell r="Y101">
            <v>0</v>
          </cell>
          <cell r="Z101">
            <v>0</v>
          </cell>
          <cell r="AA101">
            <v>504</v>
          </cell>
          <cell r="AB101">
            <v>612</v>
          </cell>
          <cell r="AC101">
            <v>0</v>
          </cell>
          <cell r="AD101">
            <v>828</v>
          </cell>
          <cell r="AE101">
            <v>0</v>
          </cell>
          <cell r="AF101">
            <v>0</v>
          </cell>
          <cell r="AG101">
            <v>0</v>
          </cell>
          <cell r="AH101">
            <v>1848</v>
          </cell>
          <cell r="AI101">
            <v>1944</v>
          </cell>
          <cell r="AJ101">
            <v>2046</v>
          </cell>
          <cell r="AK101">
            <v>1938</v>
          </cell>
          <cell r="AL101">
            <v>1866</v>
          </cell>
          <cell r="AM101">
            <v>2004</v>
          </cell>
          <cell r="AN101">
            <v>2040</v>
          </cell>
          <cell r="AO101">
            <v>2184</v>
          </cell>
          <cell r="AP101">
            <v>2244</v>
          </cell>
          <cell r="AQ101">
            <v>1944</v>
          </cell>
          <cell r="AR101">
            <v>1944</v>
          </cell>
          <cell r="AS101">
            <v>1800</v>
          </cell>
          <cell r="AT101">
            <v>1856</v>
          </cell>
          <cell r="AW101">
            <v>5100001970</v>
          </cell>
          <cell r="AX101" t="str">
            <v>SINCLAIR &amp; RUSH, INC.</v>
          </cell>
          <cell r="AY101" t="str">
            <v xml:space="preserve">US </v>
          </cell>
          <cell r="AZ101">
            <v>9</v>
          </cell>
          <cell r="BB101" t="str">
            <v>AADTD</v>
          </cell>
          <cell r="BC101" t="str">
            <v>AADTD-06.08.2026-(21B3)-JHUB</v>
          </cell>
          <cell r="BE101">
            <v>4000</v>
          </cell>
          <cell r="BF101">
            <v>2000.1818181818182</v>
          </cell>
          <cell r="BG101">
            <v>0.22019999999999998</v>
          </cell>
          <cell r="BH101">
            <v>8800</v>
          </cell>
          <cell r="BI101">
            <v>4.3996000363603311</v>
          </cell>
          <cell r="BJ101">
            <v>1937.7599999999998</v>
          </cell>
          <cell r="BK101">
            <v>46207.397600218159</v>
          </cell>
          <cell r="BL101">
            <v>26.397600218161987</v>
          </cell>
          <cell r="BM101" t="str">
            <v>0</v>
          </cell>
          <cell r="BN101">
            <v>3800</v>
          </cell>
          <cell r="BO101">
            <v>3656</v>
          </cell>
          <cell r="BP101">
            <v>3656</v>
          </cell>
          <cell r="BQ101">
            <v>2612</v>
          </cell>
          <cell r="BR101">
            <v>2612</v>
          </cell>
          <cell r="BS101">
            <v>1952</v>
          </cell>
          <cell r="BT101">
            <v>1448</v>
          </cell>
          <cell r="BU101">
            <v>836</v>
          </cell>
          <cell r="BV101">
            <v>836</v>
          </cell>
          <cell r="BW101">
            <v>8</v>
          </cell>
          <cell r="BX101" t="str">
            <v>FC2C5F2S8T02</v>
          </cell>
          <cell r="BY101" t="str">
            <v>EA</v>
          </cell>
        </row>
        <row r="102">
          <cell r="C102" t="str">
            <v>VPBL3H-19D594-AA</v>
          </cell>
          <cell r="D102">
            <v>200</v>
          </cell>
          <cell r="E102" t="str">
            <v>SWITCH - A/C PRESSURE TR ANSDUCER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-315</v>
          </cell>
          <cell r="N102">
            <v>1115</v>
          </cell>
          <cell r="O102">
            <v>0</v>
          </cell>
          <cell r="P102">
            <v>-315</v>
          </cell>
          <cell r="Q102">
            <v>0</v>
          </cell>
          <cell r="R102">
            <v>0</v>
          </cell>
          <cell r="S102">
            <v>183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57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82</v>
          </cell>
          <cell r="AD102">
            <v>90</v>
          </cell>
          <cell r="AE102">
            <v>57</v>
          </cell>
          <cell r="AF102">
            <v>0</v>
          </cell>
          <cell r="AG102">
            <v>0</v>
          </cell>
          <cell r="AH102">
            <v>57</v>
          </cell>
          <cell r="AI102">
            <v>229</v>
          </cell>
          <cell r="AJ102">
            <v>18</v>
          </cell>
          <cell r="AK102">
            <v>22</v>
          </cell>
          <cell r="AL102">
            <v>229</v>
          </cell>
          <cell r="AM102">
            <v>0</v>
          </cell>
          <cell r="AN102">
            <v>0</v>
          </cell>
          <cell r="AO102">
            <v>103</v>
          </cell>
          <cell r="AP102">
            <v>108</v>
          </cell>
          <cell r="AQ102">
            <v>7</v>
          </cell>
          <cell r="AR102">
            <v>30</v>
          </cell>
          <cell r="AS102">
            <v>0</v>
          </cell>
          <cell r="AT102">
            <v>-229</v>
          </cell>
          <cell r="AW102">
            <v>5100001718</v>
          </cell>
          <cell r="AX102" t="str">
            <v>SENSATA TECHNOLOGIES INC</v>
          </cell>
          <cell r="AY102" t="str">
            <v xml:space="preserve">MX </v>
          </cell>
          <cell r="AZ102" t="e">
            <v>#N/A</v>
          </cell>
          <cell r="BB102" t="str">
            <v>AADTD</v>
          </cell>
          <cell r="BC102" t="str">
            <v>AADTD-06.08.2026-(21B3)-EPDC</v>
          </cell>
          <cell r="BD102">
            <v>6750</v>
          </cell>
          <cell r="BE102">
            <v>800</v>
          </cell>
          <cell r="BF102">
            <v>73</v>
          </cell>
          <cell r="BG102">
            <v>4.59</v>
          </cell>
          <cell r="BH102">
            <v>0</v>
          </cell>
          <cell r="BI102">
            <v>0</v>
          </cell>
          <cell r="BJ102">
            <v>0</v>
          </cell>
          <cell r="BK102">
            <v>46181</v>
          </cell>
          <cell r="BL102">
            <v>0</v>
          </cell>
          <cell r="BM102" t="str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-57</v>
          </cell>
          <cell r="BT102">
            <v>-57</v>
          </cell>
          <cell r="BU102">
            <v>-57</v>
          </cell>
          <cell r="BV102">
            <v>-139</v>
          </cell>
          <cell r="BW102">
            <v>-229</v>
          </cell>
          <cell r="BY102" t="str">
            <v>EA</v>
          </cell>
        </row>
        <row r="103">
          <cell r="C103" t="str">
            <v>VPJL3H-048B60-BA</v>
          </cell>
          <cell r="D103">
            <v>5000</v>
          </cell>
          <cell r="E103" t="str">
            <v>Label - A/C 3M 7874 Thermal Polyeste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37238</v>
          </cell>
          <cell r="N103">
            <v>-12238</v>
          </cell>
          <cell r="O103">
            <v>0</v>
          </cell>
          <cell r="P103">
            <v>77238</v>
          </cell>
          <cell r="Q103">
            <v>0</v>
          </cell>
          <cell r="R103">
            <v>40000</v>
          </cell>
          <cell r="S103">
            <v>32</v>
          </cell>
          <cell r="T103">
            <v>480</v>
          </cell>
          <cell r="U103">
            <v>625</v>
          </cell>
          <cell r="V103">
            <v>750</v>
          </cell>
          <cell r="W103">
            <v>600</v>
          </cell>
          <cell r="X103">
            <v>1579</v>
          </cell>
          <cell r="Y103">
            <v>0</v>
          </cell>
          <cell r="Z103">
            <v>0</v>
          </cell>
          <cell r="AA103">
            <v>1500</v>
          </cell>
          <cell r="AB103">
            <v>716</v>
          </cell>
          <cell r="AC103">
            <v>2210</v>
          </cell>
          <cell r="AD103">
            <v>1500</v>
          </cell>
          <cell r="AE103">
            <v>724</v>
          </cell>
          <cell r="AF103">
            <v>0</v>
          </cell>
          <cell r="AG103">
            <v>0</v>
          </cell>
          <cell r="AH103">
            <v>4034</v>
          </cell>
          <cell r="AI103">
            <v>6650</v>
          </cell>
          <cell r="AJ103">
            <v>8468</v>
          </cell>
          <cell r="AK103">
            <v>7104</v>
          </cell>
          <cell r="AL103">
            <v>7726</v>
          </cell>
          <cell r="AM103">
            <v>8303</v>
          </cell>
          <cell r="AN103">
            <v>6676</v>
          </cell>
          <cell r="AO103">
            <v>8249</v>
          </cell>
          <cell r="AP103">
            <v>6133</v>
          </cell>
          <cell r="AQ103">
            <v>7936</v>
          </cell>
          <cell r="AR103">
            <v>7184</v>
          </cell>
          <cell r="AS103">
            <v>7105</v>
          </cell>
          <cell r="AT103">
            <v>33350</v>
          </cell>
          <cell r="AW103">
            <v>5100001743</v>
          </cell>
          <cell r="AX103" t="str">
            <v>GENERAL LABELS AND PRINT</v>
          </cell>
          <cell r="AY103" t="str">
            <v xml:space="preserve">US </v>
          </cell>
          <cell r="AZ103">
            <v>9</v>
          </cell>
          <cell r="BB103" t="str">
            <v>AADTD</v>
          </cell>
          <cell r="BC103" t="str">
            <v>AADTD-06.08.2026-(21B3)-EPDC</v>
          </cell>
          <cell r="BE103">
            <v>25000</v>
          </cell>
          <cell r="BF103">
            <v>7133</v>
          </cell>
          <cell r="BG103">
            <v>5.9179999999999996E-2</v>
          </cell>
          <cell r="BH103">
            <v>40000</v>
          </cell>
          <cell r="BI103">
            <v>5.6077386793775412</v>
          </cell>
          <cell r="BJ103">
            <v>2367.1999999999998</v>
          </cell>
          <cell r="BK103">
            <v>46214.646432076268</v>
          </cell>
          <cell r="BL103">
            <v>33.646432076265249</v>
          </cell>
          <cell r="BM103" t="str">
            <v>0</v>
          </cell>
          <cell r="BN103">
            <v>40000</v>
          </cell>
          <cell r="BO103">
            <v>39520</v>
          </cell>
          <cell r="BP103">
            <v>38895</v>
          </cell>
          <cell r="BQ103">
            <v>38145</v>
          </cell>
          <cell r="BR103">
            <v>37545</v>
          </cell>
          <cell r="BS103">
            <v>35966</v>
          </cell>
          <cell r="BT103">
            <v>34466</v>
          </cell>
          <cell r="BU103">
            <v>33750</v>
          </cell>
          <cell r="BV103">
            <v>31540</v>
          </cell>
          <cell r="BW103">
            <v>30040</v>
          </cell>
          <cell r="BY103" t="str">
            <v>EA</v>
          </cell>
        </row>
        <row r="104">
          <cell r="C104" t="str">
            <v>FC1U0YTHCA01</v>
          </cell>
          <cell r="D104">
            <v>5000</v>
          </cell>
          <cell r="E104" t="str">
            <v>GSKT-A/C LINE SEAL'G</v>
          </cell>
          <cell r="F104">
            <v>10000</v>
          </cell>
          <cell r="G104">
            <v>20000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12010</v>
          </cell>
          <cell r="N104">
            <v>22990</v>
          </cell>
          <cell r="O104">
            <v>25000</v>
          </cell>
          <cell r="P104">
            <v>112510</v>
          </cell>
          <cell r="Q104">
            <v>40000</v>
          </cell>
          <cell r="R104">
            <v>52000</v>
          </cell>
          <cell r="S104">
            <v>0</v>
          </cell>
          <cell r="T104">
            <v>3058</v>
          </cell>
          <cell r="U104">
            <v>4305</v>
          </cell>
          <cell r="V104">
            <v>4520</v>
          </cell>
          <cell r="W104">
            <v>4520</v>
          </cell>
          <cell r="X104">
            <v>4520</v>
          </cell>
          <cell r="Y104">
            <v>0</v>
          </cell>
          <cell r="Z104">
            <v>0</v>
          </cell>
          <cell r="AA104">
            <v>4228</v>
          </cell>
          <cell r="AB104">
            <v>4228</v>
          </cell>
          <cell r="AC104">
            <v>4228</v>
          </cell>
          <cell r="AD104">
            <v>4228</v>
          </cell>
          <cell r="AE104">
            <v>4228</v>
          </cell>
          <cell r="AF104">
            <v>0</v>
          </cell>
          <cell r="AG104">
            <v>0</v>
          </cell>
          <cell r="AH104">
            <v>20923</v>
          </cell>
          <cell r="AI104">
            <v>21140</v>
          </cell>
          <cell r="AJ104">
            <v>21432</v>
          </cell>
          <cell r="AK104">
            <v>21140</v>
          </cell>
          <cell r="AL104">
            <v>19970</v>
          </cell>
          <cell r="AM104">
            <v>19970</v>
          </cell>
          <cell r="AN104">
            <v>20062</v>
          </cell>
          <cell r="AO104">
            <v>19683</v>
          </cell>
          <cell r="AP104">
            <v>19992</v>
          </cell>
          <cell r="AQ104">
            <v>20225</v>
          </cell>
          <cell r="AR104">
            <v>19845</v>
          </cell>
          <cell r="AS104">
            <v>19699</v>
          </cell>
          <cell r="AT104">
            <v>30860</v>
          </cell>
          <cell r="AW104">
            <v>5100001846</v>
          </cell>
          <cell r="AX104" t="str">
            <v>PARKER HANNIFIN CORPORAT</v>
          </cell>
          <cell r="AY104" t="str">
            <v xml:space="preserve">US </v>
          </cell>
          <cell r="AZ104">
            <v>9</v>
          </cell>
          <cell r="BB104" t="str">
            <v>AADTD</v>
          </cell>
          <cell r="BC104" t="str">
            <v>AADTD-06.08.2026-(21B3)-JHUB</v>
          </cell>
          <cell r="BD104">
            <v>10000</v>
          </cell>
          <cell r="BE104">
            <v>35000</v>
          </cell>
          <cell r="BF104">
            <v>20398.363636363636</v>
          </cell>
          <cell r="BG104">
            <v>0.15330000000000002</v>
          </cell>
          <cell r="BH104">
            <v>107000</v>
          </cell>
          <cell r="BI104">
            <v>5.2455188027560142</v>
          </cell>
          <cell r="BJ104">
            <v>16403.100000000002</v>
          </cell>
          <cell r="BK104">
            <v>46212.473112816537</v>
          </cell>
          <cell r="BL104">
            <v>31.473112816536087</v>
          </cell>
          <cell r="BM104" t="str">
            <v>0</v>
          </cell>
          <cell r="BN104">
            <v>52000</v>
          </cell>
          <cell r="BO104">
            <v>48942</v>
          </cell>
          <cell r="BP104">
            <v>44637</v>
          </cell>
          <cell r="BQ104">
            <v>40117</v>
          </cell>
          <cell r="BR104">
            <v>35597</v>
          </cell>
          <cell r="BS104">
            <v>31077</v>
          </cell>
          <cell r="BT104">
            <v>26849</v>
          </cell>
          <cell r="BU104">
            <v>22621</v>
          </cell>
          <cell r="BV104">
            <v>18393</v>
          </cell>
          <cell r="BW104">
            <v>14165</v>
          </cell>
          <cell r="BX104" t="str">
            <v>FC1U0YTHCA01</v>
          </cell>
          <cell r="BY104" t="str">
            <v>EA</v>
          </cell>
        </row>
        <row r="105">
          <cell r="C105" t="str">
            <v>VPBK3H-19E754-JC</v>
          </cell>
          <cell r="D105">
            <v>200</v>
          </cell>
          <cell r="E105" t="str">
            <v>Bracket/Clip - A/C Line</v>
          </cell>
          <cell r="F105">
            <v>0</v>
          </cell>
          <cell r="G105">
            <v>10500</v>
          </cell>
          <cell r="I105">
            <v>0</v>
          </cell>
          <cell r="M105">
            <v>541</v>
          </cell>
          <cell r="N105">
            <v>4659</v>
          </cell>
          <cell r="O105">
            <v>0</v>
          </cell>
          <cell r="Q105">
            <v>0</v>
          </cell>
          <cell r="R105">
            <v>2863</v>
          </cell>
          <cell r="S105">
            <v>0</v>
          </cell>
          <cell r="T105">
            <v>1068</v>
          </cell>
          <cell r="U105">
            <v>0</v>
          </cell>
          <cell r="V105">
            <v>588</v>
          </cell>
          <cell r="W105">
            <v>0</v>
          </cell>
          <cell r="X105">
            <v>840</v>
          </cell>
          <cell r="Y105">
            <v>0</v>
          </cell>
          <cell r="Z105">
            <v>0</v>
          </cell>
          <cell r="AA105">
            <v>480</v>
          </cell>
          <cell r="AB105">
            <v>1008</v>
          </cell>
          <cell r="AC105">
            <v>0</v>
          </cell>
          <cell r="AD105">
            <v>336</v>
          </cell>
          <cell r="AE105">
            <v>1008</v>
          </cell>
          <cell r="AF105">
            <v>0</v>
          </cell>
          <cell r="AG105">
            <v>0</v>
          </cell>
          <cell r="AH105">
            <v>2496</v>
          </cell>
          <cell r="AI105">
            <v>2832</v>
          </cell>
          <cell r="AJ105">
            <v>2610</v>
          </cell>
          <cell r="AK105">
            <v>2028</v>
          </cell>
          <cell r="AL105">
            <v>3108</v>
          </cell>
          <cell r="AM105">
            <v>2364</v>
          </cell>
          <cell r="AN105">
            <v>2268</v>
          </cell>
          <cell r="AO105">
            <v>3343</v>
          </cell>
          <cell r="AP105">
            <v>3012</v>
          </cell>
          <cell r="AQ105">
            <v>2028</v>
          </cell>
          <cell r="AR105">
            <v>2028</v>
          </cell>
          <cell r="AS105">
            <v>3012</v>
          </cell>
          <cell r="AT105">
            <v>31</v>
          </cell>
          <cell r="AW105">
            <v>5100001719</v>
          </cell>
          <cell r="AX105" t="str">
            <v>DEXTER STAMPING COMPANY</v>
          </cell>
          <cell r="AY105" t="str">
            <v xml:space="preserve">US </v>
          </cell>
          <cell r="AZ105">
            <v>9</v>
          </cell>
          <cell r="BB105" t="str">
            <v>AADTD</v>
          </cell>
          <cell r="BC105" t="str">
            <v>AADTD-06.08.2026-(21B3)-JHUB</v>
          </cell>
          <cell r="BE105">
            <v>5200</v>
          </cell>
          <cell r="BF105">
            <v>2556.090909090909</v>
          </cell>
          <cell r="BG105">
            <v>0.44339999999999996</v>
          </cell>
          <cell r="BH105">
            <v>13363</v>
          </cell>
          <cell r="BI105">
            <v>5.2279048262616925</v>
          </cell>
          <cell r="BJ105">
            <v>5925.154199999999</v>
          </cell>
          <cell r="BK105">
            <v>46212.367428957572</v>
          </cell>
          <cell r="BL105">
            <v>31.367428957570155</v>
          </cell>
          <cell r="BM105" t="str">
            <v>0</v>
          </cell>
          <cell r="BN105">
            <v>2863</v>
          </cell>
          <cell r="BO105">
            <v>1795</v>
          </cell>
          <cell r="BP105">
            <v>1795</v>
          </cell>
          <cell r="BQ105">
            <v>1207</v>
          </cell>
          <cell r="BR105">
            <v>1207</v>
          </cell>
          <cell r="BS105">
            <v>367</v>
          </cell>
          <cell r="BT105">
            <v>-113</v>
          </cell>
          <cell r="BU105">
            <v>-1121</v>
          </cell>
          <cell r="BV105">
            <v>-1121</v>
          </cell>
          <cell r="BW105">
            <v>-1457</v>
          </cell>
          <cell r="BX105" t="str">
            <v>VPBK3H-19E754-JC</v>
          </cell>
          <cell r="BY105" t="str">
            <v>EA</v>
          </cell>
        </row>
        <row r="106">
          <cell r="C106" t="str">
            <v>VP9L3H-19E778-FA</v>
          </cell>
          <cell r="D106">
            <v>1000</v>
          </cell>
          <cell r="E106" t="str">
            <v>SHP'G/CAP-DSL/M 1/2" MALE DSL CAP</v>
          </cell>
          <cell r="F106">
            <v>0</v>
          </cell>
          <cell r="G106">
            <v>6000</v>
          </cell>
          <cell r="I106">
            <v>0</v>
          </cell>
          <cell r="M106">
            <v>11099</v>
          </cell>
          <cell r="N106">
            <v>13901</v>
          </cell>
          <cell r="O106">
            <v>0</v>
          </cell>
          <cell r="Q106">
            <v>0</v>
          </cell>
          <cell r="R106">
            <v>3944</v>
          </cell>
          <cell r="S106">
            <v>68</v>
          </cell>
          <cell r="T106">
            <v>0</v>
          </cell>
          <cell r="U106">
            <v>858</v>
          </cell>
          <cell r="V106">
            <v>780</v>
          </cell>
          <cell r="W106">
            <v>0</v>
          </cell>
          <cell r="X106">
            <v>28</v>
          </cell>
          <cell r="Y106">
            <v>0</v>
          </cell>
          <cell r="Z106">
            <v>0</v>
          </cell>
          <cell r="AA106">
            <v>0</v>
          </cell>
          <cell r="AB106">
            <v>1014</v>
          </cell>
          <cell r="AC106">
            <v>178</v>
          </cell>
          <cell r="AD106">
            <v>870</v>
          </cell>
          <cell r="AE106">
            <v>28</v>
          </cell>
          <cell r="AF106">
            <v>0</v>
          </cell>
          <cell r="AG106">
            <v>0</v>
          </cell>
          <cell r="AH106">
            <v>1666</v>
          </cell>
          <cell r="AI106">
            <v>2090</v>
          </cell>
          <cell r="AJ106">
            <v>1302</v>
          </cell>
          <cell r="AK106">
            <v>2089</v>
          </cell>
          <cell r="AL106">
            <v>1520</v>
          </cell>
          <cell r="AM106">
            <v>1302</v>
          </cell>
          <cell r="AN106">
            <v>1898</v>
          </cell>
          <cell r="AO106">
            <v>2002</v>
          </cell>
          <cell r="AP106">
            <v>1420</v>
          </cell>
          <cell r="AQ106">
            <v>1401</v>
          </cell>
          <cell r="AR106">
            <v>1381</v>
          </cell>
          <cell r="AS106">
            <v>1284</v>
          </cell>
          <cell r="AT106">
            <v>1854</v>
          </cell>
          <cell r="AW106">
            <v>5100002097</v>
          </cell>
          <cell r="AX106" t="str">
            <v>POLYMER MOLDING INC</v>
          </cell>
          <cell r="AY106" t="str">
            <v xml:space="preserve">US </v>
          </cell>
          <cell r="AZ106">
            <v>9</v>
          </cell>
          <cell r="BB106" t="str">
            <v>AADTD</v>
          </cell>
          <cell r="BC106" t="str">
            <v>AADTD-06.08.2026-(21B3)-JHUB</v>
          </cell>
          <cell r="BE106">
            <v>25000</v>
          </cell>
          <cell r="BF106">
            <v>1642.8181818181818</v>
          </cell>
          <cell r="BG106">
            <v>2.8300000000000002E-2</v>
          </cell>
          <cell r="BH106">
            <v>9944</v>
          </cell>
          <cell r="BI106">
            <v>6.0530131149355322</v>
          </cell>
          <cell r="BJ106">
            <v>281.41520000000003</v>
          </cell>
          <cell r="BK106">
            <v>46217.318078689612</v>
          </cell>
          <cell r="BL106">
            <v>36.318078689613195</v>
          </cell>
          <cell r="BM106" t="str">
            <v>0</v>
          </cell>
          <cell r="BN106">
            <v>3944</v>
          </cell>
          <cell r="BO106">
            <v>3944</v>
          </cell>
          <cell r="BP106">
            <v>3086</v>
          </cell>
          <cell r="BQ106">
            <v>2306</v>
          </cell>
          <cell r="BR106">
            <v>2306</v>
          </cell>
          <cell r="BS106">
            <v>2278</v>
          </cell>
          <cell r="BT106">
            <v>2278</v>
          </cell>
          <cell r="BU106">
            <v>1264</v>
          </cell>
          <cell r="BV106">
            <v>1086</v>
          </cell>
          <cell r="BW106">
            <v>216</v>
          </cell>
          <cell r="BX106" t="str">
            <v>VP9L3H-19E778-FA</v>
          </cell>
          <cell r="BY106" t="str">
            <v>EA</v>
          </cell>
        </row>
        <row r="107">
          <cell r="C107" t="str">
            <v>VPJL3H-048B60-EA</v>
          </cell>
          <cell r="D107">
            <v>5000</v>
          </cell>
          <cell r="E107" t="str">
            <v>Label - A/C 3M 7874 Thermal Polyeste</v>
          </cell>
          <cell r="F107">
            <v>0</v>
          </cell>
          <cell r="G107">
            <v>90000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101149</v>
          </cell>
          <cell r="N107">
            <v>148851</v>
          </cell>
          <cell r="O107">
            <v>0</v>
          </cell>
          <cell r="P107">
            <v>336149</v>
          </cell>
          <cell r="Q107">
            <v>0</v>
          </cell>
          <cell r="R107">
            <v>95000</v>
          </cell>
          <cell r="S107">
            <v>1081</v>
          </cell>
          <cell r="T107">
            <v>5754</v>
          </cell>
          <cell r="U107">
            <v>5220</v>
          </cell>
          <cell r="V107">
            <v>7972</v>
          </cell>
          <cell r="W107">
            <v>6530</v>
          </cell>
          <cell r="X107">
            <v>7788</v>
          </cell>
          <cell r="Y107">
            <v>0</v>
          </cell>
          <cell r="Z107">
            <v>0</v>
          </cell>
          <cell r="AA107">
            <v>6904</v>
          </cell>
          <cell r="AB107">
            <v>4878</v>
          </cell>
          <cell r="AC107">
            <v>6289</v>
          </cell>
          <cell r="AD107">
            <v>7022</v>
          </cell>
          <cell r="AE107">
            <v>7456</v>
          </cell>
          <cell r="AF107">
            <v>0</v>
          </cell>
          <cell r="AG107">
            <v>0</v>
          </cell>
          <cell r="AH107">
            <v>33264</v>
          </cell>
          <cell r="AI107">
            <v>32549</v>
          </cell>
          <cell r="AJ107">
            <v>32668</v>
          </cell>
          <cell r="AK107">
            <v>31545</v>
          </cell>
          <cell r="AL107">
            <v>29667</v>
          </cell>
          <cell r="AM107">
            <v>26778</v>
          </cell>
          <cell r="AN107">
            <v>29553</v>
          </cell>
          <cell r="AO107">
            <v>27364</v>
          </cell>
          <cell r="AP107">
            <v>31941</v>
          </cell>
          <cell r="AQ107">
            <v>30473</v>
          </cell>
          <cell r="AR107">
            <v>30700</v>
          </cell>
          <cell r="AS107">
            <v>29107</v>
          </cell>
          <cell r="AT107">
            <v>62451</v>
          </cell>
          <cell r="AW107">
            <v>5100001743</v>
          </cell>
          <cell r="AX107" t="str">
            <v>GENERAL LABELS AND PRINT</v>
          </cell>
          <cell r="AY107" t="str">
            <v xml:space="preserve">US </v>
          </cell>
          <cell r="AZ107">
            <v>9</v>
          </cell>
          <cell r="BB107" t="str">
            <v>AADTD</v>
          </cell>
          <cell r="BC107" t="str">
            <v>AADTD-06.08.2026-(21B3)-JHUB</v>
          </cell>
          <cell r="BE107">
            <v>250000</v>
          </cell>
          <cell r="BF107">
            <v>30591.090909090908</v>
          </cell>
          <cell r="BG107">
            <v>5.2399999999999995E-2</v>
          </cell>
          <cell r="BH107">
            <v>185000</v>
          </cell>
          <cell r="BI107">
            <v>6.0475123476234911</v>
          </cell>
          <cell r="BJ107">
            <v>9694</v>
          </cell>
          <cell r="BK107">
            <v>46217.285074085739</v>
          </cell>
          <cell r="BL107">
            <v>36.285074085740945</v>
          </cell>
          <cell r="BM107" t="str">
            <v>0</v>
          </cell>
          <cell r="BN107">
            <v>95000</v>
          </cell>
          <cell r="BO107">
            <v>89246</v>
          </cell>
          <cell r="BP107">
            <v>84026</v>
          </cell>
          <cell r="BQ107">
            <v>76054</v>
          </cell>
          <cell r="BR107">
            <v>69524</v>
          </cell>
          <cell r="BS107">
            <v>61736</v>
          </cell>
          <cell r="BT107">
            <v>54832</v>
          </cell>
          <cell r="BU107">
            <v>49954</v>
          </cell>
          <cell r="BV107">
            <v>43665</v>
          </cell>
          <cell r="BW107">
            <v>36643</v>
          </cell>
          <cell r="BY107" t="str">
            <v>EA</v>
          </cell>
        </row>
        <row r="108">
          <cell r="C108" t="str">
            <v>VP9ASH-19E778-BA</v>
          </cell>
          <cell r="D108">
            <v>3000</v>
          </cell>
          <cell r="E108" t="str">
            <v>CAP-16MM CAPO FLANGE</v>
          </cell>
          <cell r="F108">
            <v>0</v>
          </cell>
          <cell r="G108">
            <v>0</v>
          </cell>
          <cell r="I108">
            <v>0</v>
          </cell>
          <cell r="M108">
            <v>870</v>
          </cell>
          <cell r="N108">
            <v>3630</v>
          </cell>
          <cell r="O108">
            <v>0</v>
          </cell>
          <cell r="Q108">
            <v>0</v>
          </cell>
          <cell r="R108">
            <v>7500</v>
          </cell>
          <cell r="S108">
            <v>184</v>
          </cell>
          <cell r="T108">
            <v>180</v>
          </cell>
          <cell r="U108">
            <v>2024</v>
          </cell>
          <cell r="V108">
            <v>180</v>
          </cell>
          <cell r="W108">
            <v>180</v>
          </cell>
          <cell r="X108">
            <v>180</v>
          </cell>
          <cell r="Y108">
            <v>0</v>
          </cell>
          <cell r="Z108">
            <v>0</v>
          </cell>
          <cell r="AA108">
            <v>180</v>
          </cell>
          <cell r="AB108">
            <v>180</v>
          </cell>
          <cell r="AC108">
            <v>180</v>
          </cell>
          <cell r="AD108">
            <v>180</v>
          </cell>
          <cell r="AE108">
            <v>184</v>
          </cell>
          <cell r="AF108">
            <v>0</v>
          </cell>
          <cell r="AG108">
            <v>0</v>
          </cell>
          <cell r="AH108">
            <v>2744</v>
          </cell>
          <cell r="AI108">
            <v>904</v>
          </cell>
          <cell r="AJ108">
            <v>900</v>
          </cell>
          <cell r="AK108">
            <v>904</v>
          </cell>
          <cell r="AL108">
            <v>850</v>
          </cell>
          <cell r="AM108">
            <v>852</v>
          </cell>
          <cell r="AN108">
            <v>1085</v>
          </cell>
          <cell r="AO108">
            <v>850</v>
          </cell>
          <cell r="AP108">
            <v>858</v>
          </cell>
          <cell r="AQ108">
            <v>850</v>
          </cell>
          <cell r="AR108">
            <v>850</v>
          </cell>
          <cell r="AS108">
            <v>850</v>
          </cell>
          <cell r="AT108">
            <v>6596</v>
          </cell>
          <cell r="AW108">
            <v>5100002703</v>
          </cell>
          <cell r="AX108" t="str">
            <v>Caplugs LLC</v>
          </cell>
          <cell r="AY108" t="str">
            <v xml:space="preserve">US </v>
          </cell>
          <cell r="AZ108">
            <v>9</v>
          </cell>
          <cell r="BB108" t="str">
            <v>AADTD</v>
          </cell>
          <cell r="BC108" t="str">
            <v>AADTD-06.08.2026-(21B3)-EPDC</v>
          </cell>
          <cell r="BE108">
            <v>4500</v>
          </cell>
          <cell r="BF108">
            <v>1058.8181818181818</v>
          </cell>
          <cell r="BG108">
            <v>3.4409999999999996E-2</v>
          </cell>
          <cell r="BH108">
            <v>7500</v>
          </cell>
          <cell r="BI108">
            <v>7.0833691079247876</v>
          </cell>
          <cell r="BJ108">
            <v>258.07499999999999</v>
          </cell>
          <cell r="BK108">
            <v>46223.500214647545</v>
          </cell>
          <cell r="BL108">
            <v>42.500214647548724</v>
          </cell>
          <cell r="BM108" t="str">
            <v>0</v>
          </cell>
          <cell r="BN108">
            <v>7500</v>
          </cell>
          <cell r="BO108">
            <v>7320</v>
          </cell>
          <cell r="BP108">
            <v>5296</v>
          </cell>
          <cell r="BQ108">
            <v>5116</v>
          </cell>
          <cell r="BR108">
            <v>4936</v>
          </cell>
          <cell r="BS108">
            <v>4756</v>
          </cell>
          <cell r="BT108">
            <v>4576</v>
          </cell>
          <cell r="BU108">
            <v>4396</v>
          </cell>
          <cell r="BV108">
            <v>4216</v>
          </cell>
          <cell r="BW108">
            <v>4036</v>
          </cell>
          <cell r="BX108" t="str">
            <v>VP9ASH-19E778-BA</v>
          </cell>
          <cell r="BY108" t="str">
            <v>EA</v>
          </cell>
        </row>
        <row r="109">
          <cell r="C109" t="str">
            <v>YR3H-18K459-CAA</v>
          </cell>
          <cell r="D109">
            <v>305</v>
          </cell>
          <cell r="E109" t="str">
            <v>5/8in CONVOLUTED SLV HOS EPROTECTOR</v>
          </cell>
          <cell r="F109">
            <v>0</v>
          </cell>
          <cell r="G109">
            <v>0</v>
          </cell>
          <cell r="H109">
            <v>0</v>
          </cell>
          <cell r="I109">
            <v>14945</v>
          </cell>
          <cell r="J109">
            <v>0</v>
          </cell>
          <cell r="K109">
            <v>0</v>
          </cell>
          <cell r="L109">
            <v>0</v>
          </cell>
          <cell r="M109">
            <v>-3612.973</v>
          </cell>
          <cell r="N109">
            <v>5612.973</v>
          </cell>
          <cell r="O109">
            <v>0</v>
          </cell>
          <cell r="P109">
            <v>35122027</v>
          </cell>
          <cell r="Q109">
            <v>0</v>
          </cell>
          <cell r="R109">
            <v>34160</v>
          </cell>
          <cell r="S109">
            <v>533.35500000000002</v>
          </cell>
          <cell r="T109">
            <v>1028.7159999999999</v>
          </cell>
          <cell r="U109">
            <v>1550.5360000000001</v>
          </cell>
          <cell r="V109">
            <v>1734.6859999999999</v>
          </cell>
          <cell r="W109">
            <v>1734.6859999999999</v>
          </cell>
          <cell r="X109">
            <v>1737.085</v>
          </cell>
          <cell r="Y109">
            <v>0</v>
          </cell>
          <cell r="Z109">
            <v>0</v>
          </cell>
          <cell r="AA109">
            <v>1550.5360000000001</v>
          </cell>
          <cell r="AB109">
            <v>1550.5360000000001</v>
          </cell>
          <cell r="AC109">
            <v>1409.886</v>
          </cell>
          <cell r="AD109">
            <v>1522.4059999999999</v>
          </cell>
          <cell r="AE109">
            <v>1524.8050000000001</v>
          </cell>
          <cell r="AF109">
            <v>0</v>
          </cell>
          <cell r="AG109">
            <v>0</v>
          </cell>
          <cell r="AH109">
            <v>7785.7089999999998</v>
          </cell>
          <cell r="AI109">
            <v>7558.1689999999999</v>
          </cell>
          <cell r="AJ109">
            <v>7796.18</v>
          </cell>
          <cell r="AK109">
            <v>7612.03</v>
          </cell>
          <cell r="AL109">
            <v>6837.2929999999997</v>
          </cell>
          <cell r="AM109">
            <v>6963.7950000000001</v>
          </cell>
          <cell r="AN109">
            <v>6949.56</v>
          </cell>
          <cell r="AO109">
            <v>6906.06</v>
          </cell>
          <cell r="AP109">
            <v>6979.64</v>
          </cell>
          <cell r="AQ109">
            <v>7134.79</v>
          </cell>
          <cell r="AR109">
            <v>7281.56</v>
          </cell>
          <cell r="AS109">
            <v>6987.7820000000002</v>
          </cell>
          <cell r="AT109">
            <v>26601.830999999998</v>
          </cell>
          <cell r="AW109">
            <v>5100002082</v>
          </cell>
          <cell r="AX109" t="str">
            <v>DELFINGEN US INC</v>
          </cell>
          <cell r="AY109" t="str">
            <v xml:space="preserve">US </v>
          </cell>
          <cell r="AZ109">
            <v>9</v>
          </cell>
          <cell r="BB109" t="str">
            <v>AADTD</v>
          </cell>
          <cell r="BC109" t="str">
            <v>AADTD-06.08.2026-(21B3)-EPDC</v>
          </cell>
          <cell r="BD109">
            <v>6750</v>
          </cell>
          <cell r="BE109">
            <v>2000</v>
          </cell>
          <cell r="BF109">
            <v>7254.9805454545449</v>
          </cell>
          <cell r="BG109">
            <v>5.4000000000000001E-4</v>
          </cell>
          <cell r="BH109">
            <v>49105</v>
          </cell>
          <cell r="BI109">
            <v>6.768453711535547</v>
          </cell>
          <cell r="BJ109">
            <v>26516.7</v>
          </cell>
          <cell r="BK109">
            <v>46221.610722269215</v>
          </cell>
          <cell r="BL109">
            <v>40.610722269213284</v>
          </cell>
          <cell r="BM109">
            <v>0</v>
          </cell>
          <cell r="BN109">
            <v>34160</v>
          </cell>
          <cell r="BO109">
            <v>33131.284</v>
          </cell>
          <cell r="BP109">
            <v>31580.748</v>
          </cell>
          <cell r="BQ109">
            <v>29846.061999999998</v>
          </cell>
          <cell r="BR109">
            <v>28111.375999999997</v>
          </cell>
          <cell r="BS109">
            <v>26374.290999999997</v>
          </cell>
          <cell r="BT109">
            <v>24823.754999999997</v>
          </cell>
          <cell r="BU109">
            <v>23273.218999999997</v>
          </cell>
          <cell r="BV109">
            <v>21863.332999999999</v>
          </cell>
          <cell r="BW109">
            <v>20340.927</v>
          </cell>
          <cell r="BY109" t="str">
            <v>MM</v>
          </cell>
        </row>
        <row r="110">
          <cell r="C110" t="str">
            <v>VPAR3H-19E778-AA</v>
          </cell>
          <cell r="D110">
            <v>2000</v>
          </cell>
          <cell r="E110" t="str">
            <v>SHIPPING CAP / BULK / 3/ 8INCH SLIM</v>
          </cell>
          <cell r="F110">
            <v>5400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3946</v>
          </cell>
          <cell r="N110">
            <v>2054</v>
          </cell>
          <cell r="O110">
            <v>0</v>
          </cell>
          <cell r="P110">
            <v>10246</v>
          </cell>
          <cell r="Q110">
            <v>0</v>
          </cell>
          <cell r="R110">
            <v>4500</v>
          </cell>
          <cell r="S110">
            <v>365</v>
          </cell>
          <cell r="T110">
            <v>0</v>
          </cell>
          <cell r="U110">
            <v>323</v>
          </cell>
          <cell r="V110">
            <v>240</v>
          </cell>
          <cell r="W110">
            <v>528</v>
          </cell>
          <cell r="X110">
            <v>86</v>
          </cell>
          <cell r="Y110">
            <v>0</v>
          </cell>
          <cell r="Z110">
            <v>0</v>
          </cell>
          <cell r="AA110">
            <v>288</v>
          </cell>
          <cell r="AB110">
            <v>0</v>
          </cell>
          <cell r="AC110">
            <v>528</v>
          </cell>
          <cell r="AD110">
            <v>360</v>
          </cell>
          <cell r="AE110">
            <v>6</v>
          </cell>
          <cell r="AF110">
            <v>0</v>
          </cell>
          <cell r="AG110">
            <v>0</v>
          </cell>
          <cell r="AH110">
            <v>1177</v>
          </cell>
          <cell r="AI110">
            <v>1182</v>
          </cell>
          <cell r="AJ110">
            <v>1356</v>
          </cell>
          <cell r="AK110">
            <v>1625</v>
          </cell>
          <cell r="AL110">
            <v>1223</v>
          </cell>
          <cell r="AM110">
            <v>1416</v>
          </cell>
          <cell r="AN110">
            <v>1457</v>
          </cell>
          <cell r="AO110">
            <v>1012</v>
          </cell>
          <cell r="AP110">
            <v>1052</v>
          </cell>
          <cell r="AQ110">
            <v>1720</v>
          </cell>
          <cell r="AR110">
            <v>1624</v>
          </cell>
          <cell r="AS110">
            <v>1156</v>
          </cell>
          <cell r="AT110">
            <v>3318</v>
          </cell>
          <cell r="AW110">
            <v>5100001703</v>
          </cell>
          <cell r="AX110" t="str">
            <v>VPI AQUISITION LLC DBA V</v>
          </cell>
          <cell r="AY110" t="str">
            <v xml:space="preserve">US </v>
          </cell>
          <cell r="AZ110">
            <v>9</v>
          </cell>
          <cell r="BB110" t="str">
            <v>AADTD</v>
          </cell>
          <cell r="BC110" t="str">
            <v>AADTD-06.08.2026-(21B3)-EPDC</v>
          </cell>
          <cell r="BE110">
            <v>6000</v>
          </cell>
          <cell r="BF110">
            <v>1349.4545454545455</v>
          </cell>
          <cell r="BG110">
            <v>3.7899999999999996E-2</v>
          </cell>
          <cell r="BH110">
            <v>9900</v>
          </cell>
          <cell r="BI110">
            <v>7.3362974939369439</v>
          </cell>
          <cell r="BJ110">
            <v>375.21</v>
          </cell>
          <cell r="BK110">
            <v>46225.017784963624</v>
          </cell>
          <cell r="BL110">
            <v>44.017784963621665</v>
          </cell>
          <cell r="BM110" t="str">
            <v>0</v>
          </cell>
          <cell r="BN110">
            <v>4500</v>
          </cell>
          <cell r="BO110">
            <v>4500</v>
          </cell>
          <cell r="BP110">
            <v>4177</v>
          </cell>
          <cell r="BQ110">
            <v>3937</v>
          </cell>
          <cell r="BR110">
            <v>3409</v>
          </cell>
          <cell r="BS110">
            <v>3323</v>
          </cell>
          <cell r="BT110">
            <v>3035</v>
          </cell>
          <cell r="BU110">
            <v>3035</v>
          </cell>
          <cell r="BV110">
            <v>2507</v>
          </cell>
          <cell r="BW110">
            <v>2147</v>
          </cell>
          <cell r="BY110" t="str">
            <v>EA</v>
          </cell>
        </row>
        <row r="111">
          <cell r="C111" t="str">
            <v>VP8L8H-19A593-BA</v>
          </cell>
          <cell r="D111">
            <v>5000</v>
          </cell>
          <cell r="E111" t="str">
            <v>Gasket - A/C Line Sealin g</v>
          </cell>
          <cell r="F111">
            <v>0</v>
          </cell>
          <cell r="G111">
            <v>5000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-354</v>
          </cell>
          <cell r="N111">
            <v>5354</v>
          </cell>
          <cell r="O111">
            <v>0</v>
          </cell>
          <cell r="P111">
            <v>7646</v>
          </cell>
          <cell r="Q111">
            <v>0</v>
          </cell>
          <cell r="R111">
            <v>7500</v>
          </cell>
          <cell r="S111">
            <v>0</v>
          </cell>
          <cell r="T111">
            <v>420</v>
          </cell>
          <cell r="U111">
            <v>552</v>
          </cell>
          <cell r="V111">
            <v>384</v>
          </cell>
          <cell r="W111">
            <v>468</v>
          </cell>
          <cell r="X111">
            <v>468</v>
          </cell>
          <cell r="Y111">
            <v>0</v>
          </cell>
          <cell r="Z111">
            <v>0</v>
          </cell>
          <cell r="AA111">
            <v>468</v>
          </cell>
          <cell r="AB111">
            <v>420</v>
          </cell>
          <cell r="AC111">
            <v>0</v>
          </cell>
          <cell r="AD111">
            <v>468</v>
          </cell>
          <cell r="AE111">
            <v>420</v>
          </cell>
          <cell r="AF111">
            <v>0</v>
          </cell>
          <cell r="AG111">
            <v>0</v>
          </cell>
          <cell r="AH111">
            <v>2292</v>
          </cell>
          <cell r="AI111">
            <v>1776</v>
          </cell>
          <cell r="AJ111">
            <v>1260</v>
          </cell>
          <cell r="AK111">
            <v>1224</v>
          </cell>
          <cell r="AL111">
            <v>1807</v>
          </cell>
          <cell r="AM111">
            <v>2280</v>
          </cell>
          <cell r="AN111">
            <v>1840</v>
          </cell>
          <cell r="AO111">
            <v>1392</v>
          </cell>
          <cell r="AP111">
            <v>1560</v>
          </cell>
          <cell r="AQ111">
            <v>1392</v>
          </cell>
          <cell r="AR111">
            <v>1512</v>
          </cell>
          <cell r="AS111">
            <v>1896</v>
          </cell>
          <cell r="AT111">
            <v>5724</v>
          </cell>
          <cell r="AW111">
            <v>5100001846</v>
          </cell>
          <cell r="AX111" t="str">
            <v>PARKER HANNIFIN CORPORAT</v>
          </cell>
          <cell r="AY111" t="str">
            <v xml:space="preserve">US </v>
          </cell>
          <cell r="AZ111">
            <v>9</v>
          </cell>
          <cell r="BB111" t="str">
            <v>AADTD</v>
          </cell>
          <cell r="BC111" t="str">
            <v>AADTD-06.08.2026-(21B3)-JHUB</v>
          </cell>
          <cell r="BE111">
            <v>5000</v>
          </cell>
          <cell r="BF111">
            <v>1666.8181818181818</v>
          </cell>
          <cell r="BG111">
            <v>0.18480000000000002</v>
          </cell>
          <cell r="BH111">
            <v>12500</v>
          </cell>
          <cell r="BI111">
            <v>7.4993182437960186</v>
          </cell>
          <cell r="BJ111">
            <v>2310.0000000000005</v>
          </cell>
          <cell r="BK111">
            <v>46225.995909462777</v>
          </cell>
          <cell r="BL111">
            <v>44.995909462776112</v>
          </cell>
          <cell r="BM111" t="str">
            <v>0</v>
          </cell>
          <cell r="BN111">
            <v>7500</v>
          </cell>
          <cell r="BO111">
            <v>7080</v>
          </cell>
          <cell r="BP111">
            <v>6528</v>
          </cell>
          <cell r="BQ111">
            <v>6144</v>
          </cell>
          <cell r="BR111">
            <v>5676</v>
          </cell>
          <cell r="BS111">
            <v>5208</v>
          </cell>
          <cell r="BT111">
            <v>4740</v>
          </cell>
          <cell r="BU111">
            <v>4320</v>
          </cell>
          <cell r="BV111">
            <v>4320</v>
          </cell>
          <cell r="BW111">
            <v>3852</v>
          </cell>
          <cell r="BY111" t="str">
            <v>EA</v>
          </cell>
        </row>
        <row r="112">
          <cell r="C112" t="str">
            <v>VP7GCH-19E778-AA</v>
          </cell>
          <cell r="D112">
            <v>1500</v>
          </cell>
          <cell r="E112" t="str">
            <v>SHIPPING CAP / BULK / MA NIFOLD</v>
          </cell>
          <cell r="F112">
            <v>0</v>
          </cell>
          <cell r="G112">
            <v>6000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2978</v>
          </cell>
          <cell r="N112">
            <v>4022</v>
          </cell>
          <cell r="O112">
            <v>0</v>
          </cell>
          <cell r="P112">
            <v>10478</v>
          </cell>
          <cell r="Q112">
            <v>0</v>
          </cell>
          <cell r="R112">
            <v>4500</v>
          </cell>
          <cell r="S112">
            <v>422</v>
          </cell>
          <cell r="T112">
            <v>0</v>
          </cell>
          <cell r="U112">
            <v>357</v>
          </cell>
          <cell r="V112">
            <v>240</v>
          </cell>
          <cell r="W112">
            <v>528</v>
          </cell>
          <cell r="X112">
            <v>80</v>
          </cell>
          <cell r="Y112">
            <v>0</v>
          </cell>
          <cell r="Z112">
            <v>0</v>
          </cell>
          <cell r="AA112">
            <v>288</v>
          </cell>
          <cell r="AB112">
            <v>0</v>
          </cell>
          <cell r="AC112">
            <v>528</v>
          </cell>
          <cell r="AD112">
            <v>367</v>
          </cell>
          <cell r="AE112">
            <v>0</v>
          </cell>
          <cell r="AF112">
            <v>0</v>
          </cell>
          <cell r="AG112">
            <v>0</v>
          </cell>
          <cell r="AH112">
            <v>1205</v>
          </cell>
          <cell r="AI112">
            <v>1183</v>
          </cell>
          <cell r="AJ112">
            <v>1352</v>
          </cell>
          <cell r="AK112">
            <v>1624</v>
          </cell>
          <cell r="AL112">
            <v>1167</v>
          </cell>
          <cell r="AM112">
            <v>1416</v>
          </cell>
          <cell r="AN112">
            <v>1463</v>
          </cell>
          <cell r="AO112">
            <v>1012</v>
          </cell>
          <cell r="AP112">
            <v>1050</v>
          </cell>
          <cell r="AQ112">
            <v>1624</v>
          </cell>
          <cell r="AR112">
            <v>1624</v>
          </cell>
          <cell r="AS112">
            <v>1136</v>
          </cell>
          <cell r="AT112">
            <v>3317</v>
          </cell>
          <cell r="AW112">
            <v>5100001703</v>
          </cell>
          <cell r="AX112" t="str">
            <v>VPI AQUISITION LLC DBA V</v>
          </cell>
          <cell r="AY112" t="str">
            <v xml:space="preserve">US </v>
          </cell>
          <cell r="AZ112">
            <v>9</v>
          </cell>
          <cell r="BB112" t="str">
            <v>AADTD</v>
          </cell>
          <cell r="BC112" t="str">
            <v>AADTD-06.08.2026-(21B3)-JHUB</v>
          </cell>
          <cell r="BE112">
            <v>7000</v>
          </cell>
          <cell r="BF112">
            <v>1338.1818181818182</v>
          </cell>
          <cell r="BG112">
            <v>3.7289999999999997E-2</v>
          </cell>
          <cell r="BH112">
            <v>10500</v>
          </cell>
          <cell r="BI112">
            <v>7.8464673913043477</v>
          </cell>
          <cell r="BJ112">
            <v>391.54499999999996</v>
          </cell>
          <cell r="BK112">
            <v>46228.078804347824</v>
          </cell>
          <cell r="BL112">
            <v>47.078804347826086</v>
          </cell>
          <cell r="BM112" t="str">
            <v>0</v>
          </cell>
          <cell r="BN112">
            <v>4500</v>
          </cell>
          <cell r="BO112">
            <v>4500</v>
          </cell>
          <cell r="BP112">
            <v>4143</v>
          </cell>
          <cell r="BQ112">
            <v>3903</v>
          </cell>
          <cell r="BR112">
            <v>3375</v>
          </cell>
          <cell r="BS112">
            <v>3295</v>
          </cell>
          <cell r="BT112">
            <v>3007</v>
          </cell>
          <cell r="BU112">
            <v>3007</v>
          </cell>
          <cell r="BV112">
            <v>2479</v>
          </cell>
          <cell r="BW112">
            <v>2112</v>
          </cell>
          <cell r="BY112" t="str">
            <v>EA</v>
          </cell>
        </row>
        <row r="113">
          <cell r="C113" t="str">
            <v>FC2B2F2S5X01</v>
          </cell>
          <cell r="D113">
            <v>1100</v>
          </cell>
          <cell r="E113" t="str">
            <v>BRKT/CLIP-PLASTIC CLIP</v>
          </cell>
          <cell r="F113">
            <v>0</v>
          </cell>
          <cell r="G113">
            <v>2200</v>
          </cell>
          <cell r="I113">
            <v>0</v>
          </cell>
          <cell r="M113">
            <v>3451</v>
          </cell>
          <cell r="N113">
            <v>3549</v>
          </cell>
          <cell r="O113">
            <v>0</v>
          </cell>
          <cell r="Q113">
            <v>7700</v>
          </cell>
          <cell r="R113">
            <v>13200</v>
          </cell>
          <cell r="S113">
            <v>986</v>
          </cell>
          <cell r="T113">
            <v>522</v>
          </cell>
          <cell r="U113">
            <v>522</v>
          </cell>
          <cell r="V113">
            <v>522</v>
          </cell>
          <cell r="W113">
            <v>522</v>
          </cell>
          <cell r="X113">
            <v>522</v>
          </cell>
          <cell r="Y113">
            <v>0</v>
          </cell>
          <cell r="Z113">
            <v>0</v>
          </cell>
          <cell r="AA113">
            <v>522</v>
          </cell>
          <cell r="AB113">
            <v>522</v>
          </cell>
          <cell r="AC113">
            <v>232</v>
          </cell>
          <cell r="AD113">
            <v>464</v>
          </cell>
          <cell r="AE113">
            <v>464</v>
          </cell>
          <cell r="AF113">
            <v>0</v>
          </cell>
          <cell r="AG113">
            <v>0</v>
          </cell>
          <cell r="AH113">
            <v>2610</v>
          </cell>
          <cell r="AI113">
            <v>2204</v>
          </cell>
          <cell r="AJ113">
            <v>2320</v>
          </cell>
          <cell r="AK113">
            <v>2320</v>
          </cell>
          <cell r="AL113">
            <v>1740</v>
          </cell>
          <cell r="AM113">
            <v>2030</v>
          </cell>
          <cell r="AN113">
            <v>2030</v>
          </cell>
          <cell r="AO113">
            <v>2320</v>
          </cell>
          <cell r="AP113">
            <v>2030</v>
          </cell>
          <cell r="AQ113">
            <v>2030</v>
          </cell>
          <cell r="AR113">
            <v>2320</v>
          </cell>
          <cell r="AS113">
            <v>2030</v>
          </cell>
          <cell r="AT113">
            <v>10996</v>
          </cell>
          <cell r="AW113">
            <v>5100001909</v>
          </cell>
          <cell r="AX113" t="str">
            <v>ELITE PLASTIC PRODUCTS I</v>
          </cell>
          <cell r="AY113" t="str">
            <v xml:space="preserve">US </v>
          </cell>
          <cell r="AZ113">
            <v>9</v>
          </cell>
          <cell r="BB113" t="str">
            <v>AADTD</v>
          </cell>
          <cell r="BC113" t="str">
            <v>AADTD-06.08.2026-(21B3)-JHUB</v>
          </cell>
          <cell r="BE113">
            <v>7000</v>
          </cell>
          <cell r="BF113">
            <v>2177.6363636363635</v>
          </cell>
          <cell r="BG113">
            <v>0.18640000000000001</v>
          </cell>
          <cell r="BH113">
            <v>15400</v>
          </cell>
          <cell r="BI113">
            <v>7.071887784921099</v>
          </cell>
          <cell r="BJ113">
            <v>2870.56</v>
          </cell>
          <cell r="BK113">
            <v>46223.431326709528</v>
          </cell>
          <cell r="BL113">
            <v>42.431326709526594</v>
          </cell>
          <cell r="BM113" t="str">
            <v>0</v>
          </cell>
          <cell r="BN113">
            <v>13200</v>
          </cell>
          <cell r="BO113">
            <v>12678</v>
          </cell>
          <cell r="BP113">
            <v>12156</v>
          </cell>
          <cell r="BQ113">
            <v>11634</v>
          </cell>
          <cell r="BR113">
            <v>11112</v>
          </cell>
          <cell r="BS113">
            <v>10590</v>
          </cell>
          <cell r="BT113">
            <v>10068</v>
          </cell>
          <cell r="BU113">
            <v>9546</v>
          </cell>
          <cell r="BV113">
            <v>9314</v>
          </cell>
          <cell r="BW113">
            <v>8850</v>
          </cell>
          <cell r="BX113" t="str">
            <v>FC2B2F2S5X01</v>
          </cell>
          <cell r="BY113" t="str">
            <v>EA</v>
          </cell>
        </row>
        <row r="114">
          <cell r="C114" t="str">
            <v>00218472-01-0000</v>
          </cell>
          <cell r="D114">
            <v>2500</v>
          </cell>
          <cell r="E114" t="str">
            <v>Sleeve-Abrasive Protectn Polypropylene S</v>
          </cell>
          <cell r="F114">
            <v>0</v>
          </cell>
          <cell r="G114">
            <v>0</v>
          </cell>
          <cell r="I114">
            <v>0</v>
          </cell>
          <cell r="M114">
            <v>-3200</v>
          </cell>
          <cell r="N114">
            <v>4600</v>
          </cell>
          <cell r="O114">
            <v>0</v>
          </cell>
          <cell r="Q114">
            <v>0</v>
          </cell>
          <cell r="R114">
            <v>7500</v>
          </cell>
          <cell r="S114">
            <v>0</v>
          </cell>
          <cell r="T114">
            <v>180</v>
          </cell>
          <cell r="U114">
            <v>180</v>
          </cell>
          <cell r="V114">
            <v>180</v>
          </cell>
          <cell r="W114">
            <v>180</v>
          </cell>
          <cell r="X114">
            <v>180</v>
          </cell>
          <cell r="Y114">
            <v>0</v>
          </cell>
          <cell r="Z114">
            <v>0</v>
          </cell>
          <cell r="AA114">
            <v>180</v>
          </cell>
          <cell r="AB114">
            <v>180</v>
          </cell>
          <cell r="AC114">
            <v>180</v>
          </cell>
          <cell r="AD114">
            <v>180</v>
          </cell>
          <cell r="AE114">
            <v>180</v>
          </cell>
          <cell r="AF114">
            <v>0</v>
          </cell>
          <cell r="AG114">
            <v>0</v>
          </cell>
          <cell r="AH114">
            <v>900</v>
          </cell>
          <cell r="AI114">
            <v>900</v>
          </cell>
          <cell r="AJ114">
            <v>900</v>
          </cell>
          <cell r="AK114">
            <v>900</v>
          </cell>
          <cell r="AL114">
            <v>850</v>
          </cell>
          <cell r="AM114">
            <v>850</v>
          </cell>
          <cell r="AN114">
            <v>850</v>
          </cell>
          <cell r="AO114">
            <v>850</v>
          </cell>
          <cell r="AP114">
            <v>850</v>
          </cell>
          <cell r="AQ114">
            <v>850</v>
          </cell>
          <cell r="AR114">
            <v>850</v>
          </cell>
          <cell r="AS114">
            <v>850</v>
          </cell>
          <cell r="AT114">
            <v>6600</v>
          </cell>
          <cell r="AW114">
            <v>5100002082</v>
          </cell>
          <cell r="AX114" t="str">
            <v>DELFINGEN US INC</v>
          </cell>
          <cell r="AY114" t="str">
            <v xml:space="preserve">US </v>
          </cell>
          <cell r="AZ114">
            <v>9</v>
          </cell>
          <cell r="BB114" t="str">
            <v>AADTD</v>
          </cell>
          <cell r="BC114" t="str">
            <v>AADTD-06.08.2026-(21B3)-EPDC</v>
          </cell>
          <cell r="BE114">
            <v>1400</v>
          </cell>
          <cell r="BF114">
            <v>869.18181818181813</v>
          </cell>
          <cell r="BG114">
            <v>3.1899999999999998E-2</v>
          </cell>
          <cell r="BH114">
            <v>7500</v>
          </cell>
          <cell r="BI114">
            <v>8.6288045183558211</v>
          </cell>
          <cell r="BJ114">
            <v>239.24999999999997</v>
          </cell>
          <cell r="BK114">
            <v>46232.772827110137</v>
          </cell>
          <cell r="BL114">
            <v>51.772827110134926</v>
          </cell>
          <cell r="BM114" t="str">
            <v>0</v>
          </cell>
          <cell r="BN114">
            <v>7500</v>
          </cell>
          <cell r="BO114">
            <v>7320</v>
          </cell>
          <cell r="BP114">
            <v>7140</v>
          </cell>
          <cell r="BQ114">
            <v>6960</v>
          </cell>
          <cell r="BR114">
            <v>6780</v>
          </cell>
          <cell r="BS114">
            <v>6600</v>
          </cell>
          <cell r="BT114">
            <v>6420</v>
          </cell>
          <cell r="BU114">
            <v>6240</v>
          </cell>
          <cell r="BV114">
            <v>6060</v>
          </cell>
          <cell r="BW114">
            <v>5880</v>
          </cell>
          <cell r="BX114" t="str">
            <v>00218472-01-0000</v>
          </cell>
          <cell r="BY114" t="str">
            <v>EA</v>
          </cell>
        </row>
        <row r="115">
          <cell r="C115" t="str">
            <v>6L2H-19E889-CB</v>
          </cell>
          <cell r="D115">
            <v>10000</v>
          </cell>
          <cell r="E115" t="str">
            <v>O-RING FLUID TRANSPORT</v>
          </cell>
          <cell r="F115">
            <v>10000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2381</v>
          </cell>
          <cell r="N115">
            <v>42619</v>
          </cell>
          <cell r="O115">
            <v>0</v>
          </cell>
          <cell r="P115">
            <v>71881</v>
          </cell>
          <cell r="Q115">
            <v>20000</v>
          </cell>
          <cell r="R115">
            <v>91000</v>
          </cell>
          <cell r="S115">
            <v>201</v>
          </cell>
          <cell r="T115">
            <v>800</v>
          </cell>
          <cell r="U115">
            <v>1592</v>
          </cell>
          <cell r="V115">
            <v>1574</v>
          </cell>
          <cell r="W115">
            <v>1790</v>
          </cell>
          <cell r="X115">
            <v>1444</v>
          </cell>
          <cell r="Y115">
            <v>0</v>
          </cell>
          <cell r="Z115">
            <v>0</v>
          </cell>
          <cell r="AA115">
            <v>1394</v>
          </cell>
          <cell r="AB115">
            <v>1852</v>
          </cell>
          <cell r="AC115">
            <v>1852</v>
          </cell>
          <cell r="AD115">
            <v>1789</v>
          </cell>
          <cell r="AE115">
            <v>1444</v>
          </cell>
          <cell r="AF115">
            <v>0</v>
          </cell>
          <cell r="AG115">
            <v>0</v>
          </cell>
          <cell r="AH115">
            <v>7200</v>
          </cell>
          <cell r="AI115">
            <v>8331</v>
          </cell>
          <cell r="AJ115">
            <v>7774</v>
          </cell>
          <cell r="AK115">
            <v>7250</v>
          </cell>
          <cell r="AL115">
            <v>8725</v>
          </cell>
          <cell r="AM115">
            <v>7085</v>
          </cell>
          <cell r="AN115">
            <v>8511</v>
          </cell>
          <cell r="AO115">
            <v>8545</v>
          </cell>
          <cell r="AP115">
            <v>6412</v>
          </cell>
          <cell r="AQ115">
            <v>7056</v>
          </cell>
          <cell r="AR115">
            <v>8639</v>
          </cell>
          <cell r="AS115">
            <v>7232</v>
          </cell>
          <cell r="AT115">
            <v>82669</v>
          </cell>
          <cell r="AW115">
            <v>5100001749</v>
          </cell>
          <cell r="AX115" t="str">
            <v>TRELLEBORG SEALING SOLUT</v>
          </cell>
          <cell r="AY115" t="str">
            <v xml:space="preserve">US </v>
          </cell>
          <cell r="AZ115">
            <v>9</v>
          </cell>
          <cell r="BB115" t="str">
            <v>AADTD</v>
          </cell>
          <cell r="BC115" t="str">
            <v>AADTD-06.08.2026-(21B3)-EPDC</v>
          </cell>
          <cell r="BD115">
            <v>10000</v>
          </cell>
          <cell r="BE115">
            <v>45000</v>
          </cell>
          <cell r="BF115">
            <v>7775.272727272727</v>
          </cell>
          <cell r="BG115">
            <v>0.15869999999999998</v>
          </cell>
          <cell r="BH115">
            <v>101000</v>
          </cell>
          <cell r="BI115">
            <v>12.989898045084651</v>
          </cell>
          <cell r="BJ115">
            <v>16028.699999999997</v>
          </cell>
          <cell r="BK115">
            <v>46258.939388270504</v>
          </cell>
          <cell r="BL115">
            <v>77.939388270507905</v>
          </cell>
          <cell r="BM115">
            <v>20000</v>
          </cell>
          <cell r="BN115">
            <v>91000</v>
          </cell>
          <cell r="BO115">
            <v>90200</v>
          </cell>
          <cell r="BP115">
            <v>88608</v>
          </cell>
          <cell r="BQ115">
            <v>87034</v>
          </cell>
          <cell r="BR115">
            <v>85244</v>
          </cell>
          <cell r="BS115">
            <v>83800</v>
          </cell>
          <cell r="BT115">
            <v>82406</v>
          </cell>
          <cell r="BU115">
            <v>80554</v>
          </cell>
          <cell r="BV115">
            <v>78702</v>
          </cell>
          <cell r="BW115">
            <v>76913</v>
          </cell>
          <cell r="BX115" t="str">
            <v>6L2H-19E889-CB</v>
          </cell>
          <cell r="BY115" t="str">
            <v>EA</v>
          </cell>
        </row>
        <row r="116">
          <cell r="C116" t="str">
            <v>YC1H-18N332-AA</v>
          </cell>
          <cell r="D116">
            <v>500</v>
          </cell>
          <cell r="E116" t="str">
            <v>CLP-HTR TUB RET</v>
          </cell>
          <cell r="F116">
            <v>0</v>
          </cell>
          <cell r="G116">
            <v>500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716</v>
          </cell>
          <cell r="N116">
            <v>784</v>
          </cell>
          <cell r="O116">
            <v>0</v>
          </cell>
          <cell r="P116">
            <v>1966</v>
          </cell>
          <cell r="Q116">
            <v>0</v>
          </cell>
          <cell r="R116">
            <v>750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108</v>
          </cell>
          <cell r="AE116">
            <v>108</v>
          </cell>
          <cell r="AF116">
            <v>0</v>
          </cell>
          <cell r="AG116">
            <v>0</v>
          </cell>
          <cell r="AH116">
            <v>0</v>
          </cell>
          <cell r="AI116">
            <v>216</v>
          </cell>
          <cell r="AJ116">
            <v>108</v>
          </cell>
          <cell r="AK116">
            <v>108</v>
          </cell>
          <cell r="AL116">
            <v>162</v>
          </cell>
          <cell r="AM116">
            <v>108</v>
          </cell>
          <cell r="AN116">
            <v>108</v>
          </cell>
          <cell r="AO116">
            <v>216</v>
          </cell>
          <cell r="AP116">
            <v>108</v>
          </cell>
          <cell r="AQ116">
            <v>216</v>
          </cell>
          <cell r="AR116">
            <v>216</v>
          </cell>
          <cell r="AS116">
            <v>216</v>
          </cell>
          <cell r="AT116">
            <v>534</v>
          </cell>
          <cell r="AW116">
            <v>5100002070</v>
          </cell>
          <cell r="AX116" t="str">
            <v>HELLERMANN TYTON CORPORA</v>
          </cell>
          <cell r="AY116" t="str">
            <v xml:space="preserve">US </v>
          </cell>
          <cell r="AZ116">
            <v>9</v>
          </cell>
          <cell r="BB116" t="str">
            <v>AADTD</v>
          </cell>
          <cell r="BC116" t="str">
            <v>AADTD-06.08.2026-(21B3)-JHUB</v>
          </cell>
          <cell r="BE116">
            <v>1500</v>
          </cell>
          <cell r="BF116">
            <v>142.36363636363637</v>
          </cell>
          <cell r="BG116">
            <v>0.30060000000000003</v>
          </cell>
          <cell r="BH116">
            <v>1250</v>
          </cell>
          <cell r="BI116">
            <v>8.7803320561941245</v>
          </cell>
          <cell r="BJ116">
            <v>375.75000000000006</v>
          </cell>
          <cell r="BK116">
            <v>46233.681992337166</v>
          </cell>
          <cell r="BL116">
            <v>52.681992337164743</v>
          </cell>
          <cell r="BM116" t="str">
            <v>0</v>
          </cell>
          <cell r="BN116">
            <v>750</v>
          </cell>
          <cell r="BO116">
            <v>750</v>
          </cell>
          <cell r="BP116">
            <v>750</v>
          </cell>
          <cell r="BQ116">
            <v>750</v>
          </cell>
          <cell r="BR116">
            <v>750</v>
          </cell>
          <cell r="BS116">
            <v>750</v>
          </cell>
          <cell r="BT116">
            <v>750</v>
          </cell>
          <cell r="BU116">
            <v>750</v>
          </cell>
          <cell r="BV116">
            <v>750</v>
          </cell>
          <cell r="BW116">
            <v>642</v>
          </cell>
          <cell r="BX116" t="str">
            <v>YC1H-18N332-AA</v>
          </cell>
          <cell r="BY116" t="str">
            <v>EA</v>
          </cell>
        </row>
        <row r="117">
          <cell r="C117" t="str">
            <v>VPBK3H-19E754-KB</v>
          </cell>
          <cell r="D117">
            <v>300</v>
          </cell>
          <cell r="E117" t="str">
            <v>Bracket/Clip - A/C Line</v>
          </cell>
          <cell r="F117">
            <v>0</v>
          </cell>
          <cell r="G117">
            <v>0</v>
          </cell>
          <cell r="I117">
            <v>0</v>
          </cell>
          <cell r="M117">
            <v>1426</v>
          </cell>
          <cell r="N117">
            <v>3074</v>
          </cell>
          <cell r="O117">
            <v>0</v>
          </cell>
          <cell r="Q117">
            <v>0</v>
          </cell>
          <cell r="R117">
            <v>11000</v>
          </cell>
          <cell r="S117">
            <v>0</v>
          </cell>
          <cell r="T117">
            <v>534</v>
          </cell>
          <cell r="U117">
            <v>0</v>
          </cell>
          <cell r="V117">
            <v>294</v>
          </cell>
          <cell r="W117">
            <v>0</v>
          </cell>
          <cell r="X117">
            <v>420</v>
          </cell>
          <cell r="Y117">
            <v>0</v>
          </cell>
          <cell r="Z117">
            <v>0</v>
          </cell>
          <cell r="AA117">
            <v>240</v>
          </cell>
          <cell r="AB117">
            <v>504</v>
          </cell>
          <cell r="AC117">
            <v>0</v>
          </cell>
          <cell r="AD117">
            <v>168</v>
          </cell>
          <cell r="AE117">
            <v>504</v>
          </cell>
          <cell r="AF117">
            <v>0</v>
          </cell>
          <cell r="AG117">
            <v>0</v>
          </cell>
          <cell r="AH117">
            <v>1248</v>
          </cell>
          <cell r="AI117">
            <v>1416</v>
          </cell>
          <cell r="AJ117">
            <v>1308</v>
          </cell>
          <cell r="AK117">
            <v>1014</v>
          </cell>
          <cell r="AL117">
            <v>1554</v>
          </cell>
          <cell r="AM117">
            <v>1182</v>
          </cell>
          <cell r="AN117">
            <v>1134</v>
          </cell>
          <cell r="AO117">
            <v>1705</v>
          </cell>
          <cell r="AP117">
            <v>1536</v>
          </cell>
          <cell r="AQ117">
            <v>1014</v>
          </cell>
          <cell r="AR117">
            <v>1014</v>
          </cell>
          <cell r="AS117">
            <v>1536</v>
          </cell>
          <cell r="AT117">
            <v>9584</v>
          </cell>
          <cell r="AW117">
            <v>5100001719</v>
          </cell>
          <cell r="AX117" t="str">
            <v>DEXTER STAMPING COMPANY</v>
          </cell>
          <cell r="AY117" t="str">
            <v xml:space="preserve">US </v>
          </cell>
          <cell r="AZ117">
            <v>9</v>
          </cell>
          <cell r="BB117" t="str">
            <v>AADTD</v>
          </cell>
          <cell r="BC117" t="str">
            <v>AADTD-06.08.2026-(21B3)-EPDC</v>
          </cell>
          <cell r="BE117">
            <v>4500</v>
          </cell>
          <cell r="BF117">
            <v>1284.090909090909</v>
          </cell>
          <cell r="BG117">
            <v>0.44439999999999996</v>
          </cell>
          <cell r="BH117">
            <v>11000</v>
          </cell>
          <cell r="BI117">
            <v>8.5663716814159301</v>
          </cell>
          <cell r="BJ117">
            <v>4888.3999999999996</v>
          </cell>
          <cell r="BK117">
            <v>46232.398230088496</v>
          </cell>
          <cell r="BL117">
            <v>51.398230088495581</v>
          </cell>
          <cell r="BM117" t="str">
            <v>0</v>
          </cell>
          <cell r="BN117">
            <v>11000</v>
          </cell>
          <cell r="BO117">
            <v>10466</v>
          </cell>
          <cell r="BP117">
            <v>10466</v>
          </cell>
          <cell r="BQ117">
            <v>10172</v>
          </cell>
          <cell r="BR117">
            <v>10172</v>
          </cell>
          <cell r="BS117">
            <v>9752</v>
          </cell>
          <cell r="BT117">
            <v>9512</v>
          </cell>
          <cell r="BU117">
            <v>9008</v>
          </cell>
          <cell r="BV117">
            <v>9008</v>
          </cell>
          <cell r="BW117">
            <v>8840</v>
          </cell>
          <cell r="BX117" t="str">
            <v>VPBK3H-19E754-KB</v>
          </cell>
          <cell r="BY117" t="str">
            <v>EA</v>
          </cell>
        </row>
        <row r="118">
          <cell r="C118" t="str">
            <v>XW4H-19C708-AA</v>
          </cell>
          <cell r="D118">
            <v>1</v>
          </cell>
          <cell r="E118" t="str">
            <v>5/16in TUB. A/C REFRIG.</v>
          </cell>
          <cell r="F118">
            <v>0</v>
          </cell>
          <cell r="G118">
            <v>991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18</v>
          </cell>
          <cell r="N118">
            <v>882</v>
          </cell>
          <cell r="O118">
            <v>0</v>
          </cell>
          <cell r="P118">
            <v>1634000</v>
          </cell>
          <cell r="Q118">
            <v>0</v>
          </cell>
          <cell r="R118">
            <v>625</v>
          </cell>
          <cell r="S118">
            <v>0</v>
          </cell>
          <cell r="T118">
            <v>35.183999999999997</v>
          </cell>
          <cell r="U118">
            <v>41.753999999999998</v>
          </cell>
          <cell r="V118">
            <v>35.112000000000002</v>
          </cell>
          <cell r="W118">
            <v>35.183999999999997</v>
          </cell>
          <cell r="X118">
            <v>35.183999999999997</v>
          </cell>
          <cell r="Y118">
            <v>0</v>
          </cell>
          <cell r="Z118">
            <v>0</v>
          </cell>
          <cell r="AA118">
            <v>35.183999999999997</v>
          </cell>
          <cell r="AB118">
            <v>35.183999999999997</v>
          </cell>
          <cell r="AC118">
            <v>35.112000000000002</v>
          </cell>
          <cell r="AD118">
            <v>35.183999999999997</v>
          </cell>
          <cell r="AE118">
            <v>35.183999999999997</v>
          </cell>
          <cell r="AF118">
            <v>0</v>
          </cell>
          <cell r="AG118">
            <v>0</v>
          </cell>
          <cell r="AH118">
            <v>182.41800000000001</v>
          </cell>
          <cell r="AI118">
            <v>175.84800000000001</v>
          </cell>
          <cell r="AJ118">
            <v>175.84800000000001</v>
          </cell>
          <cell r="AK118">
            <v>175.84800000000001</v>
          </cell>
          <cell r="AL118">
            <v>167.86699999999999</v>
          </cell>
          <cell r="AM118">
            <v>164.85300000000001</v>
          </cell>
          <cell r="AN118">
            <v>164.85300000000001</v>
          </cell>
          <cell r="AO118">
            <v>164.85300000000001</v>
          </cell>
          <cell r="AP118">
            <v>164.85300000000001</v>
          </cell>
          <cell r="AQ118">
            <v>197.83799999999999</v>
          </cell>
          <cell r="AR118">
            <v>197.83799999999999</v>
          </cell>
          <cell r="AS118">
            <v>197.83799999999999</v>
          </cell>
          <cell r="AT118">
            <v>449.15200000000004</v>
          </cell>
          <cell r="AW118">
            <v>5100005131</v>
          </cell>
          <cell r="AX118" t="str">
            <v>CONTITECH USA, INC.</v>
          </cell>
          <cell r="AY118" t="str">
            <v xml:space="preserve">US </v>
          </cell>
          <cell r="AZ118">
            <v>9</v>
          </cell>
          <cell r="BB118" t="str">
            <v>AADTD</v>
          </cell>
          <cell r="BC118" t="str">
            <v>AADTD-06.08.2026-(21B3)-JHUB</v>
          </cell>
          <cell r="BE118">
            <v>900</v>
          </cell>
          <cell r="BF118">
            <v>175.71972727272728</v>
          </cell>
          <cell r="BG118">
            <v>1.99E-3</v>
          </cell>
          <cell r="BH118">
            <v>1616</v>
          </cell>
          <cell r="BI118">
            <v>9.1964631693963064</v>
          </cell>
          <cell r="BJ118">
            <v>3215.84</v>
          </cell>
          <cell r="BK118">
            <v>46236.17877901638</v>
          </cell>
          <cell r="BL118">
            <v>55.178779016377838</v>
          </cell>
          <cell r="BM118">
            <v>0</v>
          </cell>
          <cell r="BN118">
            <v>625</v>
          </cell>
          <cell r="BO118">
            <v>589.81600000000003</v>
          </cell>
          <cell r="BP118">
            <v>548.06200000000001</v>
          </cell>
          <cell r="BQ118">
            <v>512.95000000000005</v>
          </cell>
          <cell r="BR118">
            <v>477.76600000000008</v>
          </cell>
          <cell r="BS118">
            <v>442.58200000000011</v>
          </cell>
          <cell r="BT118">
            <v>407.39800000000014</v>
          </cell>
          <cell r="BU118">
            <v>372.21400000000017</v>
          </cell>
          <cell r="BV118">
            <v>337.10200000000015</v>
          </cell>
          <cell r="BW118">
            <v>301.91800000000012</v>
          </cell>
          <cell r="BY118" t="str">
            <v>MM</v>
          </cell>
        </row>
        <row r="119">
          <cell r="C119" t="str">
            <v>VP9ASH-19E889-AA</v>
          </cell>
          <cell r="D119">
            <v>5000</v>
          </cell>
          <cell r="E119" t="str">
            <v>O-RING HNBR 16X13.6X2.43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7136</v>
          </cell>
          <cell r="N119">
            <v>-5136</v>
          </cell>
          <cell r="O119">
            <v>0</v>
          </cell>
          <cell r="P119">
            <v>17562</v>
          </cell>
          <cell r="Q119">
            <v>0</v>
          </cell>
          <cell r="R119">
            <v>10426</v>
          </cell>
          <cell r="S119">
            <v>184</v>
          </cell>
          <cell r="T119">
            <v>180</v>
          </cell>
          <cell r="U119">
            <v>2024</v>
          </cell>
          <cell r="V119">
            <v>180</v>
          </cell>
          <cell r="W119">
            <v>180</v>
          </cell>
          <cell r="X119">
            <v>180</v>
          </cell>
          <cell r="Y119">
            <v>0</v>
          </cell>
          <cell r="Z119">
            <v>0</v>
          </cell>
          <cell r="AA119">
            <v>180</v>
          </cell>
          <cell r="AB119">
            <v>180</v>
          </cell>
          <cell r="AC119">
            <v>180</v>
          </cell>
          <cell r="AD119">
            <v>180</v>
          </cell>
          <cell r="AE119">
            <v>184</v>
          </cell>
          <cell r="AF119">
            <v>0</v>
          </cell>
          <cell r="AG119">
            <v>0</v>
          </cell>
          <cell r="AH119">
            <v>2744</v>
          </cell>
          <cell r="AI119">
            <v>904</v>
          </cell>
          <cell r="AJ119">
            <v>900</v>
          </cell>
          <cell r="AK119">
            <v>904</v>
          </cell>
          <cell r="AL119">
            <v>850</v>
          </cell>
          <cell r="AM119">
            <v>852</v>
          </cell>
          <cell r="AN119">
            <v>1085</v>
          </cell>
          <cell r="AO119">
            <v>850</v>
          </cell>
          <cell r="AP119">
            <v>858</v>
          </cell>
          <cell r="AQ119">
            <v>850</v>
          </cell>
          <cell r="AR119">
            <v>850</v>
          </cell>
          <cell r="AS119">
            <v>850</v>
          </cell>
          <cell r="AT119">
            <v>9522</v>
          </cell>
          <cell r="AV119" t="str">
            <v xml:space="preserve">Puse en cero el safety stick revisar cada inicio y mitad de mes. </v>
          </cell>
          <cell r="AW119">
            <v>5100001755</v>
          </cell>
          <cell r="AX119" t="str">
            <v>PARKER HANNIFIN CORP</v>
          </cell>
          <cell r="AY119" t="str">
            <v xml:space="preserve">US </v>
          </cell>
          <cell r="AZ119">
            <v>9</v>
          </cell>
          <cell r="BB119" t="str">
            <v>AADTD</v>
          </cell>
          <cell r="BC119" t="str">
            <v>AADTD-06.08.2026-(21B3)-EPDC</v>
          </cell>
          <cell r="BE119">
            <v>2000</v>
          </cell>
          <cell r="BF119">
            <v>1058.8181818181818</v>
          </cell>
          <cell r="BG119">
            <v>5.0500000000000003E-2</v>
          </cell>
          <cell r="BH119">
            <v>10426</v>
          </cell>
          <cell r="BI119">
            <v>9.8468275092298452</v>
          </cell>
          <cell r="BJ119">
            <v>526.51300000000003</v>
          </cell>
          <cell r="BK119">
            <v>46240.080965055378</v>
          </cell>
          <cell r="BL119">
            <v>59.080965055379068</v>
          </cell>
          <cell r="BM119" t="str">
            <v>0</v>
          </cell>
          <cell r="BN119">
            <v>10426</v>
          </cell>
          <cell r="BO119">
            <v>10246</v>
          </cell>
          <cell r="BP119">
            <v>8222</v>
          </cell>
          <cell r="BQ119">
            <v>8042</v>
          </cell>
          <cell r="BR119">
            <v>7862</v>
          </cell>
          <cell r="BS119">
            <v>7682</v>
          </cell>
          <cell r="BT119">
            <v>7502</v>
          </cell>
          <cell r="BU119">
            <v>7322</v>
          </cell>
          <cell r="BV119">
            <v>7142</v>
          </cell>
          <cell r="BW119">
            <v>6962</v>
          </cell>
          <cell r="BY119" t="str">
            <v>EA</v>
          </cell>
        </row>
        <row r="120">
          <cell r="C120" t="str">
            <v>VPGV6H-048B60-DA</v>
          </cell>
          <cell r="D120">
            <v>2000</v>
          </cell>
          <cell r="E120" t="str">
            <v>Label - A/C 3M 7874 Blue (PANTONE PR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48861</v>
          </cell>
          <cell r="N120">
            <v>26139</v>
          </cell>
          <cell r="O120">
            <v>0</v>
          </cell>
          <cell r="P120">
            <v>140861</v>
          </cell>
          <cell r="Q120">
            <v>56000</v>
          </cell>
          <cell r="R120">
            <v>188000</v>
          </cell>
          <cell r="S120">
            <v>42</v>
          </cell>
          <cell r="T120">
            <v>1444</v>
          </cell>
          <cell r="U120">
            <v>2406</v>
          </cell>
          <cell r="V120">
            <v>1754</v>
          </cell>
          <cell r="W120">
            <v>1752</v>
          </cell>
          <cell r="X120">
            <v>1578</v>
          </cell>
          <cell r="Y120">
            <v>0</v>
          </cell>
          <cell r="Z120">
            <v>0</v>
          </cell>
          <cell r="AA120">
            <v>2044</v>
          </cell>
          <cell r="AB120">
            <v>1768</v>
          </cell>
          <cell r="AC120">
            <v>1960</v>
          </cell>
          <cell r="AD120">
            <v>1788</v>
          </cell>
          <cell r="AE120">
            <v>1578</v>
          </cell>
          <cell r="AF120">
            <v>0</v>
          </cell>
          <cell r="AG120">
            <v>0</v>
          </cell>
          <cell r="AH120">
            <v>8934</v>
          </cell>
          <cell r="AI120">
            <v>9138</v>
          </cell>
          <cell r="AJ120">
            <v>9088</v>
          </cell>
          <cell r="AK120">
            <v>9048</v>
          </cell>
          <cell r="AL120">
            <v>9030</v>
          </cell>
          <cell r="AM120">
            <v>8696</v>
          </cell>
          <cell r="AN120">
            <v>8733</v>
          </cell>
          <cell r="AO120">
            <v>8571</v>
          </cell>
          <cell r="AP120">
            <v>8835</v>
          </cell>
          <cell r="AQ120">
            <v>7766</v>
          </cell>
          <cell r="AR120">
            <v>8020</v>
          </cell>
          <cell r="AS120">
            <v>8012</v>
          </cell>
          <cell r="AT120">
            <v>178862</v>
          </cell>
          <cell r="AW120">
            <v>5100001743</v>
          </cell>
          <cell r="AX120" t="str">
            <v>GENERAL LABELS AND PRINT</v>
          </cell>
          <cell r="AY120" t="str">
            <v xml:space="preserve">US </v>
          </cell>
          <cell r="AZ120">
            <v>9</v>
          </cell>
          <cell r="BB120" t="str">
            <v>AADTD</v>
          </cell>
          <cell r="BC120" t="str">
            <v>AADTD-06.08.2026-(21B3)-EPDC</v>
          </cell>
          <cell r="BE120">
            <v>75000</v>
          </cell>
          <cell r="BF120">
            <v>8714.454545454546</v>
          </cell>
          <cell r="BG120">
            <v>5.1999999999999998E-2</v>
          </cell>
          <cell r="BH120">
            <v>188000</v>
          </cell>
          <cell r="BI120">
            <v>21.573352528192448</v>
          </cell>
          <cell r="BJ120">
            <v>9776</v>
          </cell>
          <cell r="BK120">
            <v>46310.440115169156</v>
          </cell>
          <cell r="BL120">
            <v>129.44011516915469</v>
          </cell>
          <cell r="BM120">
            <v>56000</v>
          </cell>
          <cell r="BN120">
            <v>188000</v>
          </cell>
          <cell r="BO120">
            <v>186556</v>
          </cell>
          <cell r="BP120">
            <v>184150</v>
          </cell>
          <cell r="BQ120">
            <v>182396</v>
          </cell>
          <cell r="BR120">
            <v>180644</v>
          </cell>
          <cell r="BS120">
            <v>179066</v>
          </cell>
          <cell r="BT120">
            <v>177022</v>
          </cell>
          <cell r="BU120">
            <v>175254</v>
          </cell>
          <cell r="BV120">
            <v>173294</v>
          </cell>
          <cell r="BW120">
            <v>171506</v>
          </cell>
          <cell r="BY120" t="str">
            <v>EA</v>
          </cell>
        </row>
        <row r="121">
          <cell r="C121" t="str">
            <v>FC1B1F2S1H01</v>
          </cell>
          <cell r="D121">
            <v>750</v>
          </cell>
          <cell r="E121" t="str">
            <v>SLV HT ALU FOIL FBRGLS D19_T0.9_L0160</v>
          </cell>
          <cell r="F121">
            <v>750</v>
          </cell>
          <cell r="G121">
            <v>750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2012</v>
          </cell>
          <cell r="N121">
            <v>-12</v>
          </cell>
          <cell r="O121">
            <v>0</v>
          </cell>
          <cell r="P121">
            <v>8012</v>
          </cell>
          <cell r="Q121">
            <v>5250</v>
          </cell>
          <cell r="R121">
            <v>9000</v>
          </cell>
          <cell r="S121">
            <v>0</v>
          </cell>
          <cell r="T121">
            <v>0</v>
          </cell>
          <cell r="U121">
            <v>280</v>
          </cell>
          <cell r="V121">
            <v>280</v>
          </cell>
          <cell r="W121">
            <v>280</v>
          </cell>
          <cell r="X121">
            <v>280</v>
          </cell>
          <cell r="Y121">
            <v>0</v>
          </cell>
          <cell r="Z121">
            <v>0</v>
          </cell>
          <cell r="AA121">
            <v>280</v>
          </cell>
          <cell r="AB121">
            <v>280</v>
          </cell>
          <cell r="AC121">
            <v>280</v>
          </cell>
          <cell r="AD121">
            <v>280</v>
          </cell>
          <cell r="AE121">
            <v>140</v>
          </cell>
          <cell r="AF121">
            <v>0</v>
          </cell>
          <cell r="AG121">
            <v>0</v>
          </cell>
          <cell r="AH121">
            <v>1120</v>
          </cell>
          <cell r="AI121">
            <v>1260</v>
          </cell>
          <cell r="AJ121">
            <v>1260</v>
          </cell>
          <cell r="AK121">
            <v>1260</v>
          </cell>
          <cell r="AL121">
            <v>1260</v>
          </cell>
          <cell r="AM121">
            <v>980</v>
          </cell>
          <cell r="AN121">
            <v>1260</v>
          </cell>
          <cell r="AO121">
            <v>980</v>
          </cell>
          <cell r="AP121">
            <v>980</v>
          </cell>
          <cell r="AQ121">
            <v>980</v>
          </cell>
          <cell r="AR121">
            <v>980</v>
          </cell>
          <cell r="AS121">
            <v>980</v>
          </cell>
          <cell r="AT121">
            <v>7740</v>
          </cell>
          <cell r="AW121">
            <v>5100001898</v>
          </cell>
          <cell r="AX121" t="str">
            <v>FEDERAL-MOGUL POWERTRAIN</v>
          </cell>
          <cell r="AY121" t="str">
            <v xml:space="preserve">US </v>
          </cell>
          <cell r="AZ121">
            <v>9</v>
          </cell>
          <cell r="BB121" t="str">
            <v>AADTD</v>
          </cell>
          <cell r="BC121" t="str">
            <v>AADTD-06.08.2026-(21B3)-JHUB</v>
          </cell>
          <cell r="BD121">
            <v>6750</v>
          </cell>
          <cell r="BE121">
            <v>2000</v>
          </cell>
          <cell r="BF121">
            <v>1120</v>
          </cell>
          <cell r="BG121">
            <v>0.27200000000000002</v>
          </cell>
          <cell r="BH121">
            <v>10500</v>
          </cell>
          <cell r="BI121">
            <v>9.375</v>
          </cell>
          <cell r="BJ121">
            <v>2856</v>
          </cell>
          <cell r="BK121">
            <v>46237.25</v>
          </cell>
          <cell r="BL121">
            <v>56.25</v>
          </cell>
          <cell r="BM121" t="str">
            <v>0</v>
          </cell>
          <cell r="BN121">
            <v>9000</v>
          </cell>
          <cell r="BO121">
            <v>9000</v>
          </cell>
          <cell r="BP121">
            <v>8720</v>
          </cell>
          <cell r="BQ121">
            <v>8440</v>
          </cell>
          <cell r="BR121">
            <v>8160</v>
          </cell>
          <cell r="BS121">
            <v>7880</v>
          </cell>
          <cell r="BT121">
            <v>7600</v>
          </cell>
          <cell r="BU121">
            <v>7320</v>
          </cell>
          <cell r="BV121">
            <v>7040</v>
          </cell>
          <cell r="BW121">
            <v>6760</v>
          </cell>
          <cell r="BY121" t="str">
            <v>EA</v>
          </cell>
        </row>
        <row r="122">
          <cell r="C122" t="str">
            <v>VPJL3H-048B60-CA</v>
          </cell>
          <cell r="D122">
            <v>5000</v>
          </cell>
          <cell r="E122" t="str">
            <v>Label - A/C 3M 7874 Thermal Polyeste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18734</v>
          </cell>
          <cell r="N122">
            <v>41266</v>
          </cell>
          <cell r="O122">
            <v>0</v>
          </cell>
          <cell r="P122">
            <v>98234</v>
          </cell>
          <cell r="Q122">
            <v>0</v>
          </cell>
          <cell r="R122">
            <v>54500</v>
          </cell>
          <cell r="S122">
            <v>59</v>
          </cell>
          <cell r="T122">
            <v>1080</v>
          </cell>
          <cell r="U122">
            <v>1240</v>
          </cell>
          <cell r="V122">
            <v>0</v>
          </cell>
          <cell r="W122">
            <v>1920</v>
          </cell>
          <cell r="X122">
            <v>20</v>
          </cell>
          <cell r="Y122">
            <v>0</v>
          </cell>
          <cell r="Z122">
            <v>0</v>
          </cell>
          <cell r="AA122">
            <v>1320</v>
          </cell>
          <cell r="AB122">
            <v>1400</v>
          </cell>
          <cell r="AC122">
            <v>0</v>
          </cell>
          <cell r="AD122">
            <v>600</v>
          </cell>
          <cell r="AE122">
            <v>20</v>
          </cell>
          <cell r="AF122">
            <v>0</v>
          </cell>
          <cell r="AG122">
            <v>0</v>
          </cell>
          <cell r="AH122">
            <v>4260</v>
          </cell>
          <cell r="AI122">
            <v>3340</v>
          </cell>
          <cell r="AJ122">
            <v>4120</v>
          </cell>
          <cell r="AK122">
            <v>4646</v>
          </cell>
          <cell r="AL122">
            <v>5669</v>
          </cell>
          <cell r="AM122">
            <v>6880</v>
          </cell>
          <cell r="AN122">
            <v>5960</v>
          </cell>
          <cell r="AO122">
            <v>7546</v>
          </cell>
          <cell r="AP122">
            <v>7082</v>
          </cell>
          <cell r="AQ122">
            <v>5817</v>
          </cell>
          <cell r="AR122">
            <v>6322</v>
          </cell>
          <cell r="AS122">
            <v>7161</v>
          </cell>
          <cell r="AT122">
            <v>51160</v>
          </cell>
          <cell r="AW122">
            <v>5100001743</v>
          </cell>
          <cell r="AX122" t="str">
            <v>GENERAL LABELS AND PRINT</v>
          </cell>
          <cell r="AY122" t="str">
            <v xml:space="preserve">US </v>
          </cell>
          <cell r="AZ122">
            <v>9</v>
          </cell>
          <cell r="BB122" t="str">
            <v>AADTD</v>
          </cell>
          <cell r="BC122" t="str">
            <v>AADTD-06.08.2026-(21B3)-EPDC</v>
          </cell>
          <cell r="BE122">
            <v>60000</v>
          </cell>
          <cell r="BF122">
            <v>5603.818181818182</v>
          </cell>
          <cell r="BG122">
            <v>5.9179999999999996E-2</v>
          </cell>
          <cell r="BH122">
            <v>54500</v>
          </cell>
          <cell r="BI122">
            <v>9.7255118263521627</v>
          </cell>
          <cell r="BJ122">
            <v>3225.31</v>
          </cell>
          <cell r="BK122">
            <v>46239.35307095811</v>
          </cell>
          <cell r="BL122">
            <v>58.35307095811298</v>
          </cell>
          <cell r="BM122" t="str">
            <v>0</v>
          </cell>
          <cell r="BN122">
            <v>54500</v>
          </cell>
          <cell r="BO122">
            <v>53420</v>
          </cell>
          <cell r="BP122">
            <v>52180</v>
          </cell>
          <cell r="BQ122">
            <v>52180</v>
          </cell>
          <cell r="BR122">
            <v>50260</v>
          </cell>
          <cell r="BS122">
            <v>50240</v>
          </cell>
          <cell r="BT122">
            <v>48920</v>
          </cell>
          <cell r="BU122">
            <v>47520</v>
          </cell>
          <cell r="BV122">
            <v>47520</v>
          </cell>
          <cell r="BW122">
            <v>46920</v>
          </cell>
          <cell r="BY122" t="str">
            <v>EA</v>
          </cell>
        </row>
        <row r="123">
          <cell r="C123" t="str">
            <v>VP9ASH-19E889-CA</v>
          </cell>
          <cell r="D123">
            <v>15000</v>
          </cell>
          <cell r="E123" t="str">
            <v>O-RING FLUID TRANSPORT A/C Fluid Transpo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9907</v>
          </cell>
          <cell r="N123">
            <v>-5907</v>
          </cell>
          <cell r="O123">
            <v>0</v>
          </cell>
          <cell r="P123">
            <v>27949</v>
          </cell>
          <cell r="Q123">
            <v>0</v>
          </cell>
          <cell r="R123">
            <v>18042</v>
          </cell>
          <cell r="S123">
            <v>119</v>
          </cell>
          <cell r="T123">
            <v>140</v>
          </cell>
          <cell r="U123">
            <v>540</v>
          </cell>
          <cell r="V123">
            <v>120</v>
          </cell>
          <cell r="W123">
            <v>40</v>
          </cell>
          <cell r="X123">
            <v>440</v>
          </cell>
          <cell r="Y123">
            <v>0</v>
          </cell>
          <cell r="Z123">
            <v>0</v>
          </cell>
          <cell r="AA123">
            <v>140</v>
          </cell>
          <cell r="AB123">
            <v>140</v>
          </cell>
          <cell r="AC123">
            <v>160</v>
          </cell>
          <cell r="AD123">
            <v>240</v>
          </cell>
          <cell r="AE123">
            <v>459</v>
          </cell>
          <cell r="AF123">
            <v>0</v>
          </cell>
          <cell r="AG123">
            <v>0</v>
          </cell>
          <cell r="AH123">
            <v>1280</v>
          </cell>
          <cell r="AI123">
            <v>1139</v>
          </cell>
          <cell r="AJ123">
            <v>1320</v>
          </cell>
          <cell r="AK123">
            <v>2226</v>
          </cell>
          <cell r="AL123">
            <v>2200</v>
          </cell>
          <cell r="AM123">
            <v>1720</v>
          </cell>
          <cell r="AN123">
            <v>1540</v>
          </cell>
          <cell r="AO123">
            <v>1330</v>
          </cell>
          <cell r="AP123">
            <v>1220</v>
          </cell>
          <cell r="AQ123">
            <v>2220</v>
          </cell>
          <cell r="AR123">
            <v>2420</v>
          </cell>
          <cell r="AS123">
            <v>1306</v>
          </cell>
          <cell r="AT123">
            <v>16903</v>
          </cell>
          <cell r="AV123" t="str">
            <v>Cambiar el safety stock en Enero 2026</v>
          </cell>
          <cell r="AW123">
            <v>5100001755</v>
          </cell>
          <cell r="AX123" t="str">
            <v>PARKER HANNIFIN CORP</v>
          </cell>
          <cell r="AY123" t="str">
            <v xml:space="preserve">US </v>
          </cell>
          <cell r="AZ123">
            <v>9</v>
          </cell>
          <cell r="BB123" t="str">
            <v>AADTD</v>
          </cell>
          <cell r="BC123" t="str">
            <v>AADTD-06.08.2026-(21B3)-EPDC</v>
          </cell>
          <cell r="BE123">
            <v>4000</v>
          </cell>
          <cell r="BF123">
            <v>1692.2727272727273</v>
          </cell>
          <cell r="BG123">
            <v>5.9499999999999997E-2</v>
          </cell>
          <cell r="BH123">
            <v>18042</v>
          </cell>
          <cell r="BI123">
            <v>10.661402095084609</v>
          </cell>
          <cell r="BJ123">
            <v>1073.499</v>
          </cell>
          <cell r="BK123">
            <v>46244.96841257051</v>
          </cell>
          <cell r="BL123">
            <v>63.968412570507653</v>
          </cell>
          <cell r="BM123" t="str">
            <v>0</v>
          </cell>
          <cell r="BN123">
            <v>18042</v>
          </cell>
          <cell r="BO123">
            <v>17902</v>
          </cell>
          <cell r="BP123">
            <v>17362</v>
          </cell>
          <cell r="BQ123">
            <v>17242</v>
          </cell>
          <cell r="BR123">
            <v>17202</v>
          </cell>
          <cell r="BS123">
            <v>16762</v>
          </cell>
          <cell r="BT123">
            <v>16622</v>
          </cell>
          <cell r="BU123">
            <v>16482</v>
          </cell>
          <cell r="BV123">
            <v>16322</v>
          </cell>
          <cell r="BW123">
            <v>16082</v>
          </cell>
          <cell r="BY123" t="str">
            <v>EA</v>
          </cell>
        </row>
        <row r="124">
          <cell r="C124" t="str">
            <v>YR3H-9911-PA0290AF</v>
          </cell>
          <cell r="D124">
            <v>540</v>
          </cell>
          <cell r="E124" t="str">
            <v>INSULATOR - A/C TUBE - F T</v>
          </cell>
          <cell r="F124">
            <v>0</v>
          </cell>
          <cell r="G124">
            <v>630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35</v>
          </cell>
          <cell r="N124">
            <v>165</v>
          </cell>
          <cell r="O124">
            <v>0</v>
          </cell>
          <cell r="P124">
            <v>669</v>
          </cell>
          <cell r="Q124">
            <v>0</v>
          </cell>
          <cell r="R124">
            <v>4</v>
          </cell>
          <cell r="S124">
            <v>80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19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19</v>
          </cell>
          <cell r="AF124">
            <v>0</v>
          </cell>
          <cell r="AG124">
            <v>0</v>
          </cell>
          <cell r="AH124">
            <v>19</v>
          </cell>
          <cell r="AI124">
            <v>19</v>
          </cell>
          <cell r="AJ124">
            <v>0</v>
          </cell>
          <cell r="AK124">
            <v>6</v>
          </cell>
          <cell r="AL124">
            <v>58</v>
          </cell>
          <cell r="AM124">
            <v>0</v>
          </cell>
          <cell r="AN124">
            <v>7</v>
          </cell>
          <cell r="AO124">
            <v>1</v>
          </cell>
          <cell r="AP124">
            <v>0</v>
          </cell>
          <cell r="AQ124">
            <v>82</v>
          </cell>
          <cell r="AR124">
            <v>15</v>
          </cell>
          <cell r="AS124">
            <v>0</v>
          </cell>
          <cell r="AT124">
            <v>-34</v>
          </cell>
          <cell r="AV124" t="str">
            <v>Servicios</v>
          </cell>
          <cell r="AW124">
            <v>5100001898</v>
          </cell>
          <cell r="AX124" t="str">
            <v>COLONIAL DPP LLC</v>
          </cell>
          <cell r="AY124" t="str">
            <v xml:space="preserve">US </v>
          </cell>
          <cell r="AZ124" t="e">
            <v>#N/A</v>
          </cell>
          <cell r="BB124" t="str">
            <v>AADTD</v>
          </cell>
          <cell r="BC124" t="str">
            <v>AADTD-06.08.2026-(21B3)-JHUB</v>
          </cell>
          <cell r="BE124">
            <v>200</v>
          </cell>
          <cell r="BF124">
            <v>18.818181818181817</v>
          </cell>
          <cell r="BG124">
            <v>0.95610000000000006</v>
          </cell>
          <cell r="BH124">
            <v>634</v>
          </cell>
          <cell r="BI124">
            <v>33.690821256038653</v>
          </cell>
          <cell r="BJ124">
            <v>606.16740000000004</v>
          </cell>
          <cell r="BK124">
            <v>46383.144927536232</v>
          </cell>
          <cell r="BL124">
            <v>202.14492753623193</v>
          </cell>
          <cell r="BM124" t="str">
            <v>0</v>
          </cell>
          <cell r="BN124">
            <v>4</v>
          </cell>
          <cell r="BO124">
            <v>4</v>
          </cell>
          <cell r="BP124">
            <v>4</v>
          </cell>
          <cell r="BQ124">
            <v>4</v>
          </cell>
          <cell r="BR124">
            <v>4</v>
          </cell>
          <cell r="BS124">
            <v>-15</v>
          </cell>
          <cell r="BT124">
            <v>-15</v>
          </cell>
          <cell r="BU124">
            <v>-15</v>
          </cell>
          <cell r="BV124">
            <v>-15</v>
          </cell>
          <cell r="BW124">
            <v>-15</v>
          </cell>
          <cell r="BY124" t="str">
            <v>EA</v>
          </cell>
        </row>
        <row r="125">
          <cell r="C125" t="str">
            <v>FC2B1F2SUB01</v>
          </cell>
          <cell r="D125">
            <v>1400</v>
          </cell>
          <cell r="E125" t="str">
            <v>BRKT/CLIP-A/C LINE</v>
          </cell>
          <cell r="F125">
            <v>0</v>
          </cell>
          <cell r="G125">
            <v>0</v>
          </cell>
          <cell r="I125">
            <v>0</v>
          </cell>
          <cell r="M125">
            <v>3541</v>
          </cell>
          <cell r="N125">
            <v>6459</v>
          </cell>
          <cell r="O125">
            <v>0</v>
          </cell>
          <cell r="Q125">
            <v>0</v>
          </cell>
          <cell r="R125">
            <v>15400</v>
          </cell>
          <cell r="S125">
            <v>0</v>
          </cell>
          <cell r="T125">
            <v>288</v>
          </cell>
          <cell r="U125">
            <v>288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288</v>
          </cell>
          <cell r="AB125">
            <v>288</v>
          </cell>
          <cell r="AC125">
            <v>288</v>
          </cell>
          <cell r="AD125">
            <v>288</v>
          </cell>
          <cell r="AE125">
            <v>288</v>
          </cell>
          <cell r="AF125">
            <v>0</v>
          </cell>
          <cell r="AG125">
            <v>0</v>
          </cell>
          <cell r="AH125">
            <v>576</v>
          </cell>
          <cell r="AI125">
            <v>1440</v>
          </cell>
          <cell r="AJ125">
            <v>1152</v>
          </cell>
          <cell r="AK125">
            <v>1440</v>
          </cell>
          <cell r="AL125">
            <v>1440</v>
          </cell>
          <cell r="AM125">
            <v>1440</v>
          </cell>
          <cell r="AN125">
            <v>1440</v>
          </cell>
          <cell r="AO125">
            <v>1728</v>
          </cell>
          <cell r="AP125">
            <v>1440</v>
          </cell>
          <cell r="AQ125">
            <v>1440</v>
          </cell>
          <cell r="AR125">
            <v>1440</v>
          </cell>
          <cell r="AS125">
            <v>1728</v>
          </cell>
          <cell r="AT125">
            <v>13960</v>
          </cell>
          <cell r="AW125">
            <v>5100001774</v>
          </cell>
          <cell r="AX125" t="str">
            <v>PRECISE TOOL &amp; DIE LIMIT</v>
          </cell>
          <cell r="AY125" t="str">
            <v xml:space="preserve">CA </v>
          </cell>
          <cell r="AZ125">
            <v>11</v>
          </cell>
          <cell r="BB125" t="str">
            <v>AADTD</v>
          </cell>
          <cell r="BC125" t="str">
            <v>AADTD-06.08.2026-(21B3)-EPDC</v>
          </cell>
          <cell r="BE125">
            <v>10000</v>
          </cell>
          <cell r="BF125">
            <v>1361.4545454545455</v>
          </cell>
          <cell r="BG125">
            <v>0.14430000000000001</v>
          </cell>
          <cell r="BH125">
            <v>15400</v>
          </cell>
          <cell r="BI125">
            <v>11.311431623931623</v>
          </cell>
          <cell r="BJ125">
            <v>2222.2200000000003</v>
          </cell>
          <cell r="BK125">
            <v>46248.868589743586</v>
          </cell>
          <cell r="BL125">
            <v>67.868589743589737</v>
          </cell>
          <cell r="BM125" t="str">
            <v>0</v>
          </cell>
          <cell r="BN125">
            <v>15400</v>
          </cell>
          <cell r="BO125">
            <v>15112</v>
          </cell>
          <cell r="BP125">
            <v>14824</v>
          </cell>
          <cell r="BQ125">
            <v>14824</v>
          </cell>
          <cell r="BR125">
            <v>14824</v>
          </cell>
          <cell r="BS125">
            <v>14824</v>
          </cell>
          <cell r="BT125">
            <v>14536</v>
          </cell>
          <cell r="BU125">
            <v>14248</v>
          </cell>
          <cell r="BV125">
            <v>13960</v>
          </cell>
          <cell r="BW125">
            <v>13672</v>
          </cell>
          <cell r="BX125" t="str">
            <v>FC2B1F2SUB01</v>
          </cell>
          <cell r="BY125" t="str">
            <v>EA</v>
          </cell>
        </row>
        <row r="126">
          <cell r="C126" t="str">
            <v>1L2H-048B60-AA</v>
          </cell>
          <cell r="D126">
            <v>14280</v>
          </cell>
          <cell r="E126" t="str">
            <v>LABEL EI ID, WHITE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40229</v>
          </cell>
          <cell r="N126">
            <v>173971</v>
          </cell>
          <cell r="O126">
            <v>0</v>
          </cell>
          <cell r="P126">
            <v>183029</v>
          </cell>
          <cell r="Q126">
            <v>0</v>
          </cell>
          <cell r="R126">
            <v>99960</v>
          </cell>
          <cell r="S126">
            <v>270</v>
          </cell>
          <cell r="T126">
            <v>1300</v>
          </cell>
          <cell r="U126">
            <v>2073</v>
          </cell>
          <cell r="V126">
            <v>2383</v>
          </cell>
          <cell r="W126">
            <v>2291</v>
          </cell>
          <cell r="X126">
            <v>2183</v>
          </cell>
          <cell r="Y126">
            <v>0</v>
          </cell>
          <cell r="Z126">
            <v>0</v>
          </cell>
          <cell r="AA126">
            <v>2244</v>
          </cell>
          <cell r="AB126">
            <v>2270</v>
          </cell>
          <cell r="AC126">
            <v>2412</v>
          </cell>
          <cell r="AD126">
            <v>2271</v>
          </cell>
          <cell r="AE126">
            <v>2263</v>
          </cell>
          <cell r="AF126">
            <v>0</v>
          </cell>
          <cell r="AG126">
            <v>0</v>
          </cell>
          <cell r="AH126">
            <v>10230</v>
          </cell>
          <cell r="AI126">
            <v>11460</v>
          </cell>
          <cell r="AJ126">
            <v>11785</v>
          </cell>
          <cell r="AK126">
            <v>11596</v>
          </cell>
          <cell r="AL126">
            <v>11371</v>
          </cell>
          <cell r="AM126">
            <v>10895</v>
          </cell>
          <cell r="AN126">
            <v>10982</v>
          </cell>
          <cell r="AO126">
            <v>10767</v>
          </cell>
          <cell r="AP126">
            <v>9168</v>
          </cell>
          <cell r="AQ126">
            <v>10920</v>
          </cell>
          <cell r="AR126">
            <v>11164</v>
          </cell>
          <cell r="AS126">
            <v>10823</v>
          </cell>
          <cell r="AT126">
            <v>88500</v>
          </cell>
          <cell r="AW126">
            <v>5100001743</v>
          </cell>
          <cell r="AX126" t="str">
            <v>GENERAL LABELS AND PRINTING LLC</v>
          </cell>
          <cell r="AY126" t="str">
            <v xml:space="preserve">US </v>
          </cell>
          <cell r="AZ126">
            <v>9</v>
          </cell>
          <cell r="BB126" t="str">
            <v>AADTD</v>
          </cell>
          <cell r="BC126" t="str">
            <v>AADTD-06.08.2026-(21B3)-EPDC</v>
          </cell>
          <cell r="BE126">
            <v>214200</v>
          </cell>
          <cell r="BF126">
            <v>10939.818181818182</v>
          </cell>
          <cell r="BG126">
            <v>1.7670000000000002E-2</v>
          </cell>
          <cell r="BH126">
            <v>99960</v>
          </cell>
          <cell r="BI126">
            <v>9.1372633748275689</v>
          </cell>
          <cell r="BJ126">
            <v>1766.2932000000001</v>
          </cell>
          <cell r="BK126">
            <v>46235.823580248965</v>
          </cell>
          <cell r="BL126">
            <v>54.823580248965413</v>
          </cell>
          <cell r="BM126" t="str">
            <v>0</v>
          </cell>
          <cell r="BN126">
            <v>99960</v>
          </cell>
          <cell r="BO126">
            <v>98660</v>
          </cell>
          <cell r="BP126">
            <v>96587</v>
          </cell>
          <cell r="BQ126">
            <v>94204</v>
          </cell>
          <cell r="BR126">
            <v>91913</v>
          </cell>
          <cell r="BS126">
            <v>89730</v>
          </cell>
          <cell r="BT126">
            <v>87486</v>
          </cell>
          <cell r="BU126">
            <v>85216</v>
          </cell>
          <cell r="BV126">
            <v>82804</v>
          </cell>
          <cell r="BW126">
            <v>80533</v>
          </cell>
          <cell r="BY126" t="str">
            <v>EA</v>
          </cell>
        </row>
        <row r="127">
          <cell r="C127" t="str">
            <v>FC2B1F2SMP02</v>
          </cell>
          <cell r="D127">
            <v>200</v>
          </cell>
          <cell r="E127" t="str">
            <v>BRKT/CLIP-A/C LINE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1667</v>
          </cell>
          <cell r="N127">
            <v>3233</v>
          </cell>
          <cell r="O127">
            <v>0</v>
          </cell>
          <cell r="P127">
            <v>19867</v>
          </cell>
          <cell r="Q127">
            <v>0</v>
          </cell>
          <cell r="R127">
            <v>18000</v>
          </cell>
          <cell r="S127">
            <v>0</v>
          </cell>
          <cell r="T127">
            <v>288</v>
          </cell>
          <cell r="U127">
            <v>288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288</v>
          </cell>
          <cell r="AB127">
            <v>288</v>
          </cell>
          <cell r="AC127">
            <v>288</v>
          </cell>
          <cell r="AD127">
            <v>288</v>
          </cell>
          <cell r="AE127">
            <v>288</v>
          </cell>
          <cell r="AF127">
            <v>0</v>
          </cell>
          <cell r="AG127">
            <v>0</v>
          </cell>
          <cell r="AH127">
            <v>576</v>
          </cell>
          <cell r="AI127">
            <v>1440</v>
          </cell>
          <cell r="AJ127">
            <v>1152</v>
          </cell>
          <cell r="AK127">
            <v>1440</v>
          </cell>
          <cell r="AL127">
            <v>1440</v>
          </cell>
          <cell r="AM127">
            <v>1440</v>
          </cell>
          <cell r="AN127">
            <v>1440</v>
          </cell>
          <cell r="AO127">
            <v>1728</v>
          </cell>
          <cell r="AP127">
            <v>1440</v>
          </cell>
          <cell r="AQ127">
            <v>1440</v>
          </cell>
          <cell r="AR127">
            <v>1440</v>
          </cell>
          <cell r="AS127">
            <v>1728</v>
          </cell>
          <cell r="AT127">
            <v>16560</v>
          </cell>
          <cell r="AW127">
            <v>5100001774</v>
          </cell>
          <cell r="AX127" t="str">
            <v>PRECISE TOOL &amp; DIE LIMIT</v>
          </cell>
          <cell r="AY127" t="str">
            <v xml:space="preserve">CA </v>
          </cell>
          <cell r="AZ127">
            <v>11</v>
          </cell>
          <cell r="BB127" t="str">
            <v>AADTD</v>
          </cell>
          <cell r="BC127" t="str">
            <v>AADTD-06.08.2026-(21B3)-EPDC</v>
          </cell>
          <cell r="BD127">
            <v>6750</v>
          </cell>
          <cell r="BE127">
            <v>4900</v>
          </cell>
          <cell r="BF127">
            <v>1361.4545454545455</v>
          </cell>
          <cell r="BG127">
            <v>0.5504</v>
          </cell>
          <cell r="BH127">
            <v>18000</v>
          </cell>
          <cell r="BI127">
            <v>13.221153846153845</v>
          </cell>
          <cell r="BJ127">
            <v>9907.2000000000007</v>
          </cell>
          <cell r="BK127">
            <v>46260.326923076922</v>
          </cell>
          <cell r="BL127">
            <v>79.326923076923066</v>
          </cell>
          <cell r="BM127" t="str">
            <v>0</v>
          </cell>
          <cell r="BN127">
            <v>18000</v>
          </cell>
          <cell r="BO127">
            <v>17712</v>
          </cell>
          <cell r="BP127">
            <v>17424</v>
          </cell>
          <cell r="BQ127">
            <v>17424</v>
          </cell>
          <cell r="BR127">
            <v>17424</v>
          </cell>
          <cell r="BS127">
            <v>17424</v>
          </cell>
          <cell r="BT127">
            <v>17136</v>
          </cell>
          <cell r="BU127">
            <v>16848</v>
          </cell>
          <cell r="BV127">
            <v>16560</v>
          </cell>
          <cell r="BW127">
            <v>16272</v>
          </cell>
          <cell r="BY127" t="str">
            <v>EA</v>
          </cell>
        </row>
        <row r="128">
          <cell r="C128" t="str">
            <v>FC1C0F2SBC01</v>
          </cell>
          <cell r="D128">
            <v>500</v>
          </cell>
          <cell r="E128" t="str">
            <v>SLV NVH RUBBER NON SLT EPDM D27_T4_L0060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-351</v>
          </cell>
          <cell r="N128">
            <v>351</v>
          </cell>
          <cell r="O128">
            <v>0</v>
          </cell>
          <cell r="P128">
            <v>1149</v>
          </cell>
          <cell r="Q128">
            <v>0</v>
          </cell>
          <cell r="R128">
            <v>1500</v>
          </cell>
          <cell r="S128">
            <v>14</v>
          </cell>
          <cell r="T128">
            <v>0</v>
          </cell>
          <cell r="U128">
            <v>0</v>
          </cell>
          <cell r="V128">
            <v>60</v>
          </cell>
          <cell r="W128">
            <v>0</v>
          </cell>
          <cell r="X128">
            <v>4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120</v>
          </cell>
          <cell r="AD128">
            <v>0</v>
          </cell>
          <cell r="AE128">
            <v>4</v>
          </cell>
          <cell r="AF128">
            <v>0</v>
          </cell>
          <cell r="AG128">
            <v>0</v>
          </cell>
          <cell r="AH128">
            <v>64</v>
          </cell>
          <cell r="AI128">
            <v>124</v>
          </cell>
          <cell r="AJ128">
            <v>123</v>
          </cell>
          <cell r="AK128">
            <v>183</v>
          </cell>
          <cell r="AL128">
            <v>196</v>
          </cell>
          <cell r="AM128">
            <v>120</v>
          </cell>
          <cell r="AN128">
            <v>60</v>
          </cell>
          <cell r="AO128">
            <v>0</v>
          </cell>
          <cell r="AP128">
            <v>0</v>
          </cell>
          <cell r="AQ128">
            <v>120</v>
          </cell>
          <cell r="AR128">
            <v>180</v>
          </cell>
          <cell r="AS128">
            <v>180</v>
          </cell>
          <cell r="AT128">
            <v>1376</v>
          </cell>
          <cell r="AW128">
            <v>5100005267</v>
          </cell>
          <cell r="AX128" t="str">
            <v>COLONIAL DPP LLC</v>
          </cell>
          <cell r="AY128" t="str">
            <v xml:space="preserve">US </v>
          </cell>
          <cell r="AZ128">
            <v>9</v>
          </cell>
          <cell r="BB128" t="str">
            <v>AADTD</v>
          </cell>
          <cell r="BC128" t="str">
            <v>AADTD-06.08.2026-(21B3)-EPDC</v>
          </cell>
          <cell r="BE128">
            <v>0</v>
          </cell>
          <cell r="BF128">
            <v>106.36363636363636</v>
          </cell>
          <cell r="BG128">
            <v>0.18619999999999998</v>
          </cell>
          <cell r="BH128">
            <v>1500</v>
          </cell>
          <cell r="BI128">
            <v>14.102564102564102</v>
          </cell>
          <cell r="BJ128">
            <v>279.29999999999995</v>
          </cell>
          <cell r="BK128">
            <v>46265.615384615383</v>
          </cell>
          <cell r="BL128">
            <v>84.615384615384613</v>
          </cell>
          <cell r="BM128" t="str">
            <v>0</v>
          </cell>
          <cell r="BN128">
            <v>1500</v>
          </cell>
          <cell r="BO128">
            <v>1500</v>
          </cell>
          <cell r="BP128">
            <v>1500</v>
          </cell>
          <cell r="BQ128">
            <v>1440</v>
          </cell>
          <cell r="BR128">
            <v>1440</v>
          </cell>
          <cell r="BS128">
            <v>1436</v>
          </cell>
          <cell r="BT128">
            <v>1436</v>
          </cell>
          <cell r="BU128">
            <v>1436</v>
          </cell>
          <cell r="BV128">
            <v>1316</v>
          </cell>
          <cell r="BW128">
            <v>1316</v>
          </cell>
          <cell r="BY128" t="str">
            <v>EA</v>
          </cell>
        </row>
        <row r="129">
          <cell r="C129" t="str">
            <v>RM3G5-A</v>
          </cell>
          <cell r="D129">
            <v>3149</v>
          </cell>
          <cell r="E129" t="str">
            <v>TAPE - 1in BLACK</v>
          </cell>
          <cell r="F129">
            <v>0</v>
          </cell>
          <cell r="G129">
            <v>3149</v>
          </cell>
          <cell r="I129">
            <v>0</v>
          </cell>
          <cell r="M129">
            <v>-1879.5405000000001</v>
          </cell>
          <cell r="N129">
            <v>8177.5405000000001</v>
          </cell>
          <cell r="O129">
            <v>0</v>
          </cell>
          <cell r="Q129">
            <v>0</v>
          </cell>
          <cell r="R129">
            <v>9448</v>
          </cell>
          <cell r="S129">
            <v>186.643</v>
          </cell>
          <cell r="T129">
            <v>159.12</v>
          </cell>
          <cell r="U129">
            <v>159.12</v>
          </cell>
          <cell r="V129">
            <v>54</v>
          </cell>
          <cell r="W129">
            <v>54</v>
          </cell>
          <cell r="X129">
            <v>54.6</v>
          </cell>
          <cell r="Y129">
            <v>0</v>
          </cell>
          <cell r="Z129">
            <v>0</v>
          </cell>
          <cell r="AA129">
            <v>159.12</v>
          </cell>
          <cell r="AB129">
            <v>159.12</v>
          </cell>
          <cell r="AC129">
            <v>159.12</v>
          </cell>
          <cell r="AD129">
            <v>159.12</v>
          </cell>
          <cell r="AE129">
            <v>222.42</v>
          </cell>
          <cell r="AF129">
            <v>0</v>
          </cell>
          <cell r="AG129">
            <v>0</v>
          </cell>
          <cell r="AH129">
            <v>480.84</v>
          </cell>
          <cell r="AI129">
            <v>858.9</v>
          </cell>
          <cell r="AJ129">
            <v>947.38</v>
          </cell>
          <cell r="AK129">
            <v>802.19150000000002</v>
          </cell>
          <cell r="AL129">
            <v>828.74099999999999</v>
          </cell>
          <cell r="AM129">
            <v>810.6</v>
          </cell>
          <cell r="AN129">
            <v>1068.1220000000001</v>
          </cell>
          <cell r="AO129">
            <v>938.44</v>
          </cell>
          <cell r="AP129">
            <v>968.5</v>
          </cell>
          <cell r="AQ129">
            <v>1074.3</v>
          </cell>
          <cell r="AR129">
            <v>976.8</v>
          </cell>
          <cell r="AS129">
            <v>1094.8</v>
          </cell>
          <cell r="AT129">
            <v>8589.1</v>
          </cell>
          <cell r="AW129">
            <v>5100002046</v>
          </cell>
          <cell r="AX129" t="str">
            <v>SUPPLY TECHNOLOGIES  LLC</v>
          </cell>
          <cell r="AY129" t="str">
            <v xml:space="preserve">US </v>
          </cell>
          <cell r="AZ129">
            <v>9</v>
          </cell>
          <cell r="BB129" t="str">
            <v>AADTD</v>
          </cell>
          <cell r="BC129" t="str">
            <v>AADTD-06.08.2026-(21B3)-JHUB</v>
          </cell>
          <cell r="BE129">
            <v>6298</v>
          </cell>
          <cell r="BF129">
            <v>886.80131818181803</v>
          </cell>
          <cell r="BG129">
            <v>1.1E-4</v>
          </cell>
          <cell r="BH129">
            <v>12597</v>
          </cell>
          <cell r="BI129">
            <v>14.204985650931652</v>
          </cell>
          <cell r="BJ129">
            <v>1385.6699999999998</v>
          </cell>
          <cell r="BK129">
            <v>46266.22991390559</v>
          </cell>
          <cell r="BL129">
            <v>85.22991390558991</v>
          </cell>
          <cell r="BM129">
            <v>0</v>
          </cell>
          <cell r="BN129">
            <v>9448</v>
          </cell>
          <cell r="BO129">
            <v>9288.8799999999992</v>
          </cell>
          <cell r="BP129">
            <v>9129.7599999999984</v>
          </cell>
          <cell r="BQ129">
            <v>9075.7599999999984</v>
          </cell>
          <cell r="BR129">
            <v>9021.7599999999984</v>
          </cell>
          <cell r="BS129">
            <v>8967.159999999998</v>
          </cell>
          <cell r="BT129">
            <v>8808.0399999999972</v>
          </cell>
          <cell r="BU129">
            <v>8648.9199999999964</v>
          </cell>
          <cell r="BV129">
            <v>8489.7999999999956</v>
          </cell>
          <cell r="BW129">
            <v>8330.6799999999948</v>
          </cell>
          <cell r="BX129" t="str">
            <v>RM3G5-A</v>
          </cell>
          <cell r="BY129" t="str">
            <v>MM</v>
          </cell>
        </row>
        <row r="130">
          <cell r="C130" t="str">
            <v>FC2G0F2SAG01</v>
          </cell>
          <cell r="D130">
            <v>3000</v>
          </cell>
          <cell r="E130" t="str">
            <v>LABEL-A/C Label - A/C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30000</v>
          </cell>
          <cell r="K130">
            <v>0</v>
          </cell>
          <cell r="L130">
            <v>0</v>
          </cell>
          <cell r="M130">
            <v>17729</v>
          </cell>
          <cell r="N130">
            <v>-15729</v>
          </cell>
          <cell r="O130">
            <v>0</v>
          </cell>
          <cell r="P130">
            <v>23729</v>
          </cell>
          <cell r="Q130">
            <v>0</v>
          </cell>
          <cell r="R130">
            <v>6000</v>
          </cell>
          <cell r="S130">
            <v>0</v>
          </cell>
          <cell r="T130">
            <v>0</v>
          </cell>
          <cell r="U130">
            <v>0</v>
          </cell>
          <cell r="V130">
            <v>120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252</v>
          </cell>
          <cell r="AC130">
            <v>200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120</v>
          </cell>
          <cell r="AI130">
            <v>452</v>
          </cell>
          <cell r="AJ130">
            <v>230</v>
          </cell>
          <cell r="AK130">
            <v>440</v>
          </cell>
          <cell r="AL130">
            <v>791</v>
          </cell>
          <cell r="AM130">
            <v>494</v>
          </cell>
          <cell r="AN130">
            <v>544</v>
          </cell>
          <cell r="AO130">
            <v>547</v>
          </cell>
          <cell r="AP130">
            <v>124</v>
          </cell>
          <cell r="AQ130">
            <v>463</v>
          </cell>
          <cell r="AR130">
            <v>103</v>
          </cell>
          <cell r="AS130">
            <v>222</v>
          </cell>
          <cell r="AT130">
            <v>5548</v>
          </cell>
          <cell r="AW130">
            <v>5100001743</v>
          </cell>
          <cell r="AX130" t="str">
            <v>GENERAL LABELS AND PRINT</v>
          </cell>
          <cell r="AY130" t="str">
            <v xml:space="preserve">US </v>
          </cell>
          <cell r="AZ130">
            <v>9</v>
          </cell>
          <cell r="BB130" t="str">
            <v>AADTD</v>
          </cell>
          <cell r="BC130" t="str">
            <v>AADTD-06.08.2026-(21B3)-EPDC</v>
          </cell>
          <cell r="BE130">
            <v>2000</v>
          </cell>
          <cell r="BF130">
            <v>391.63636363636363</v>
          </cell>
          <cell r="BG130">
            <v>0.14968999999999999</v>
          </cell>
          <cell r="BH130">
            <v>6000</v>
          </cell>
          <cell r="BI130">
            <v>15.32033426183844</v>
          </cell>
          <cell r="BJ130">
            <v>898.14</v>
          </cell>
          <cell r="BK130">
            <v>46272.922005571032</v>
          </cell>
          <cell r="BL130">
            <v>91.922005571030638</v>
          </cell>
          <cell r="BM130" t="str">
            <v>0</v>
          </cell>
          <cell r="BN130">
            <v>6000</v>
          </cell>
          <cell r="BO130">
            <v>6000</v>
          </cell>
          <cell r="BP130">
            <v>6000</v>
          </cell>
          <cell r="BQ130">
            <v>5880</v>
          </cell>
          <cell r="BR130">
            <v>5880</v>
          </cell>
          <cell r="BS130">
            <v>5880</v>
          </cell>
          <cell r="BT130">
            <v>5880</v>
          </cell>
          <cell r="BU130">
            <v>5628</v>
          </cell>
          <cell r="BV130">
            <v>5428</v>
          </cell>
          <cell r="BW130">
            <v>5428</v>
          </cell>
          <cell r="BY130" t="str">
            <v>EA</v>
          </cell>
        </row>
        <row r="131">
          <cell r="C131" t="str">
            <v>VPJL3H-048B60-AA</v>
          </cell>
          <cell r="D131">
            <v>5000</v>
          </cell>
          <cell r="E131" t="str">
            <v>Label - A/C 3M 7874 Thermal Polyeste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59953</v>
          </cell>
          <cell r="N131">
            <v>-19953</v>
          </cell>
          <cell r="O131">
            <v>0</v>
          </cell>
          <cell r="P131">
            <v>159953</v>
          </cell>
          <cell r="Q131">
            <v>0</v>
          </cell>
          <cell r="R131">
            <v>100000</v>
          </cell>
          <cell r="S131">
            <v>10</v>
          </cell>
          <cell r="T131">
            <v>620</v>
          </cell>
          <cell r="U131">
            <v>2528</v>
          </cell>
          <cell r="V131">
            <v>1690</v>
          </cell>
          <cell r="W131">
            <v>910</v>
          </cell>
          <cell r="X131">
            <v>920</v>
          </cell>
          <cell r="Y131">
            <v>0</v>
          </cell>
          <cell r="Z131">
            <v>0</v>
          </cell>
          <cell r="AA131">
            <v>620</v>
          </cell>
          <cell r="AB131">
            <v>2984</v>
          </cell>
          <cell r="AC131">
            <v>620</v>
          </cell>
          <cell r="AD131">
            <v>1400</v>
          </cell>
          <cell r="AE131">
            <v>1230</v>
          </cell>
          <cell r="AF131">
            <v>0</v>
          </cell>
          <cell r="AG131">
            <v>0</v>
          </cell>
          <cell r="AH131">
            <v>6668</v>
          </cell>
          <cell r="AI131">
            <v>6854</v>
          </cell>
          <cell r="AJ131">
            <v>5304</v>
          </cell>
          <cell r="AK131">
            <v>5494</v>
          </cell>
          <cell r="AL131">
            <v>5636</v>
          </cell>
          <cell r="AM131">
            <v>6064</v>
          </cell>
          <cell r="AN131">
            <v>6647</v>
          </cell>
          <cell r="AO131">
            <v>5654</v>
          </cell>
          <cell r="AP131">
            <v>5164</v>
          </cell>
          <cell r="AQ131">
            <v>6081</v>
          </cell>
          <cell r="AR131">
            <v>6453</v>
          </cell>
          <cell r="AS131">
            <v>6128</v>
          </cell>
          <cell r="AT131">
            <v>93146</v>
          </cell>
          <cell r="AW131">
            <v>5100001743</v>
          </cell>
          <cell r="AX131" t="str">
            <v>GENERAL LABELS AND PRINT</v>
          </cell>
          <cell r="AY131" t="str">
            <v xml:space="preserve">US </v>
          </cell>
          <cell r="AZ131">
            <v>9</v>
          </cell>
          <cell r="BB131" t="str">
            <v>AADTD</v>
          </cell>
          <cell r="BC131" t="str">
            <v>AADTD-06.08.2026-(21B3)-EPDC</v>
          </cell>
          <cell r="BE131">
            <v>40000</v>
          </cell>
          <cell r="BF131">
            <v>6001.727272727273</v>
          </cell>
          <cell r="BG131">
            <v>5.9179999999999996E-2</v>
          </cell>
          <cell r="BH131">
            <v>100000</v>
          </cell>
          <cell r="BI131">
            <v>16.661870067707781</v>
          </cell>
          <cell r="BJ131">
            <v>5918</v>
          </cell>
          <cell r="BK131">
            <v>46280.971220406245</v>
          </cell>
          <cell r="BL131">
            <v>99.971220406246687</v>
          </cell>
          <cell r="BM131" t="str">
            <v>0</v>
          </cell>
          <cell r="BN131">
            <v>100000</v>
          </cell>
          <cell r="BO131">
            <v>99380</v>
          </cell>
          <cell r="BP131">
            <v>96852</v>
          </cell>
          <cell r="BQ131">
            <v>95162</v>
          </cell>
          <cell r="BR131">
            <v>94252</v>
          </cell>
          <cell r="BS131">
            <v>93332</v>
          </cell>
          <cell r="BT131">
            <v>92712</v>
          </cell>
          <cell r="BU131">
            <v>89728</v>
          </cell>
          <cell r="BV131">
            <v>89108</v>
          </cell>
          <cell r="BW131">
            <v>87708</v>
          </cell>
          <cell r="BY131" t="str">
            <v>EA</v>
          </cell>
        </row>
        <row r="132">
          <cell r="C132" t="str">
            <v>VP6L2H-19E778-FC</v>
          </cell>
          <cell r="D132">
            <v>1000</v>
          </cell>
          <cell r="E132" t="str">
            <v>CAP-A/C  COND MANF 1/2in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552</v>
          </cell>
          <cell r="N132">
            <v>448</v>
          </cell>
          <cell r="O132">
            <v>0</v>
          </cell>
          <cell r="P132">
            <v>1462</v>
          </cell>
          <cell r="Q132">
            <v>0</v>
          </cell>
          <cell r="R132">
            <v>910</v>
          </cell>
          <cell r="S132">
            <v>234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57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57</v>
          </cell>
          <cell r="AF132">
            <v>0</v>
          </cell>
          <cell r="AG132">
            <v>0</v>
          </cell>
          <cell r="AH132">
            <v>57</v>
          </cell>
          <cell r="AI132">
            <v>57</v>
          </cell>
          <cell r="AJ132">
            <v>0</v>
          </cell>
          <cell r="AK132">
            <v>2</v>
          </cell>
          <cell r="AL132">
            <v>133</v>
          </cell>
          <cell r="AM132">
            <v>0</v>
          </cell>
          <cell r="AN132">
            <v>0</v>
          </cell>
          <cell r="AO132">
            <v>78</v>
          </cell>
          <cell r="AP132">
            <v>0</v>
          </cell>
          <cell r="AQ132">
            <v>73</v>
          </cell>
          <cell r="AR132">
            <v>151</v>
          </cell>
          <cell r="AS132">
            <v>0</v>
          </cell>
          <cell r="AT132">
            <v>853</v>
          </cell>
          <cell r="AW132">
            <v>5100002097</v>
          </cell>
          <cell r="AX132" t="str">
            <v>POLYMER MOLDING INC</v>
          </cell>
          <cell r="AY132" t="str">
            <v xml:space="preserve">US </v>
          </cell>
          <cell r="AZ132">
            <v>9</v>
          </cell>
          <cell r="BB132" t="str">
            <v>AADTD</v>
          </cell>
          <cell r="BC132" t="str">
            <v>AADTD-06.08.2026-(21B3)-EPDC</v>
          </cell>
          <cell r="BE132">
            <v>1000</v>
          </cell>
          <cell r="BF132">
            <v>50.090909090909093</v>
          </cell>
          <cell r="BG132">
            <v>3.0899999999999997E-2</v>
          </cell>
          <cell r="BH132">
            <v>910</v>
          </cell>
          <cell r="BI132">
            <v>18.166969147005442</v>
          </cell>
          <cell r="BJ132">
            <v>28.118999999999996</v>
          </cell>
          <cell r="BK132">
            <v>46290.001814882031</v>
          </cell>
          <cell r="BL132">
            <v>109.00181488203265</v>
          </cell>
          <cell r="BM132" t="str">
            <v>0</v>
          </cell>
          <cell r="BN132">
            <v>910</v>
          </cell>
          <cell r="BO132">
            <v>910</v>
          </cell>
          <cell r="BP132">
            <v>910</v>
          </cell>
          <cell r="BQ132">
            <v>910</v>
          </cell>
          <cell r="BR132">
            <v>910</v>
          </cell>
          <cell r="BS132">
            <v>853</v>
          </cell>
          <cell r="BT132">
            <v>853</v>
          </cell>
          <cell r="BU132">
            <v>853</v>
          </cell>
          <cell r="BV132">
            <v>853</v>
          </cell>
          <cell r="BW132">
            <v>853</v>
          </cell>
          <cell r="BY132" t="str">
            <v>EA</v>
          </cell>
        </row>
        <row r="133">
          <cell r="C133" t="str">
            <v>FC1Z0F2S6F02</v>
          </cell>
          <cell r="D133">
            <v>50</v>
          </cell>
          <cell r="E133" t="str">
            <v>HOSE-A/C FORMED-BARRIER GALAXY 3/4 4868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-50</v>
          </cell>
          <cell r="N133">
            <v>150</v>
          </cell>
          <cell r="O133">
            <v>0</v>
          </cell>
          <cell r="P133">
            <v>50</v>
          </cell>
          <cell r="Q133">
            <v>0</v>
          </cell>
          <cell r="R133">
            <v>50</v>
          </cell>
          <cell r="S133">
            <v>5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5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</v>
          </cell>
          <cell r="AF133">
            <v>0</v>
          </cell>
          <cell r="AG133">
            <v>0</v>
          </cell>
          <cell r="AH133">
            <v>5</v>
          </cell>
          <cell r="AI133">
            <v>5</v>
          </cell>
          <cell r="AJ133">
            <v>3</v>
          </cell>
          <cell r="AK133">
            <v>0</v>
          </cell>
          <cell r="AL133">
            <v>8</v>
          </cell>
          <cell r="AM133">
            <v>0</v>
          </cell>
          <cell r="AN133">
            <v>0</v>
          </cell>
          <cell r="AO133">
            <v>0</v>
          </cell>
          <cell r="AP133">
            <v>24</v>
          </cell>
          <cell r="AQ133">
            <v>0</v>
          </cell>
          <cell r="AR133">
            <v>0</v>
          </cell>
          <cell r="AS133">
            <v>0</v>
          </cell>
          <cell r="AT133">
            <v>45</v>
          </cell>
          <cell r="AV133" t="str">
            <v>Enero 2026</v>
          </cell>
          <cell r="AW133">
            <v>5100005175</v>
          </cell>
          <cell r="AX133" t="str">
            <v>CONTITECH NORTH AMERICA,</v>
          </cell>
          <cell r="AY133" t="str">
            <v xml:space="preserve">US </v>
          </cell>
          <cell r="AZ133">
            <v>9</v>
          </cell>
          <cell r="BB133" t="str">
            <v>AADTD</v>
          </cell>
          <cell r="BC133" t="str">
            <v>AADTD-06.08.2026-(21B3)-EPDC</v>
          </cell>
          <cell r="BE133">
            <v>100</v>
          </cell>
          <cell r="BF133">
            <v>4.0909090909090908</v>
          </cell>
          <cell r="BG133">
            <v>3.7170000000000001</v>
          </cell>
          <cell r="BH133">
            <v>50</v>
          </cell>
          <cell r="BI133">
            <v>12.222222222222223</v>
          </cell>
          <cell r="BJ133">
            <v>185.85</v>
          </cell>
          <cell r="BK133">
            <v>46254.333333333336</v>
          </cell>
          <cell r="BL133">
            <v>73.333333333333343</v>
          </cell>
          <cell r="BM133" t="str">
            <v>0</v>
          </cell>
          <cell r="BN133">
            <v>50</v>
          </cell>
          <cell r="BO133">
            <v>50</v>
          </cell>
          <cell r="BP133">
            <v>50</v>
          </cell>
          <cell r="BQ133">
            <v>50</v>
          </cell>
          <cell r="BR133">
            <v>50</v>
          </cell>
          <cell r="BS133">
            <v>45</v>
          </cell>
          <cell r="BT133">
            <v>45</v>
          </cell>
          <cell r="BU133">
            <v>45</v>
          </cell>
          <cell r="BV133">
            <v>45</v>
          </cell>
          <cell r="BW133">
            <v>45</v>
          </cell>
          <cell r="BY133" t="str">
            <v>EA</v>
          </cell>
        </row>
        <row r="134">
          <cell r="C134" t="str">
            <v>VPHL3H-048B60-DA</v>
          </cell>
          <cell r="D134">
            <v>5000</v>
          </cell>
          <cell r="E134" t="str">
            <v>Label - A/C 3M 7874 Thermal Polyeste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-6596</v>
          </cell>
          <cell r="N134">
            <v>56596</v>
          </cell>
          <cell r="O134">
            <v>0</v>
          </cell>
          <cell r="P134">
            <v>49904</v>
          </cell>
          <cell r="Q134">
            <v>0</v>
          </cell>
          <cell r="R134">
            <v>48000</v>
          </cell>
          <cell r="S134">
            <v>1187</v>
          </cell>
          <cell r="T134">
            <v>522</v>
          </cell>
          <cell r="U134">
            <v>522</v>
          </cell>
          <cell r="V134">
            <v>522</v>
          </cell>
          <cell r="W134">
            <v>522</v>
          </cell>
          <cell r="X134">
            <v>522</v>
          </cell>
          <cell r="Y134">
            <v>0</v>
          </cell>
          <cell r="Z134">
            <v>0</v>
          </cell>
          <cell r="AA134">
            <v>522</v>
          </cell>
          <cell r="AB134">
            <v>522</v>
          </cell>
          <cell r="AC134">
            <v>232</v>
          </cell>
          <cell r="AD134">
            <v>470</v>
          </cell>
          <cell r="AE134">
            <v>464</v>
          </cell>
          <cell r="AF134">
            <v>0</v>
          </cell>
          <cell r="AG134">
            <v>0</v>
          </cell>
          <cell r="AH134">
            <v>2610</v>
          </cell>
          <cell r="AI134">
            <v>2210</v>
          </cell>
          <cell r="AJ134">
            <v>2327</v>
          </cell>
          <cell r="AK134">
            <v>2322</v>
          </cell>
          <cell r="AL134">
            <v>1780</v>
          </cell>
          <cell r="AM134">
            <v>2030</v>
          </cell>
          <cell r="AN134">
            <v>2030</v>
          </cell>
          <cell r="AO134">
            <v>2320</v>
          </cell>
          <cell r="AP134">
            <v>2063</v>
          </cell>
          <cell r="AQ134">
            <v>2030</v>
          </cell>
          <cell r="AR134">
            <v>2320</v>
          </cell>
          <cell r="AS134">
            <v>2118</v>
          </cell>
          <cell r="AT134">
            <v>45790</v>
          </cell>
          <cell r="AW134">
            <v>5100001743</v>
          </cell>
          <cell r="AX134" t="str">
            <v>GENERAL LABELS AND PRINT</v>
          </cell>
          <cell r="AY134" t="str">
            <v xml:space="preserve">US </v>
          </cell>
          <cell r="AZ134">
            <v>9</v>
          </cell>
          <cell r="BB134" t="str">
            <v>AADTD</v>
          </cell>
          <cell r="BC134" t="str">
            <v>AADTD-06.08.2026-(21B3)-EPDC</v>
          </cell>
          <cell r="BE134">
            <v>50000</v>
          </cell>
          <cell r="BF134">
            <v>2185.6363636363635</v>
          </cell>
          <cell r="BG134">
            <v>0.14537</v>
          </cell>
          <cell r="BH134">
            <v>48000</v>
          </cell>
          <cell r="BI134">
            <v>21.961567257299727</v>
          </cell>
          <cell r="BJ134">
            <v>6977.76</v>
          </cell>
          <cell r="BK134">
            <v>46312.769403543796</v>
          </cell>
          <cell r="BL134">
            <v>131.76940354379838</v>
          </cell>
          <cell r="BM134" t="str">
            <v>0</v>
          </cell>
          <cell r="BN134">
            <v>48000</v>
          </cell>
          <cell r="BO134">
            <v>47478</v>
          </cell>
          <cell r="BP134">
            <v>46956</v>
          </cell>
          <cell r="BQ134">
            <v>46434</v>
          </cell>
          <cell r="BR134">
            <v>45912</v>
          </cell>
          <cell r="BS134">
            <v>45390</v>
          </cell>
          <cell r="BT134">
            <v>44868</v>
          </cell>
          <cell r="BU134">
            <v>44346</v>
          </cell>
          <cell r="BV134">
            <v>44114</v>
          </cell>
          <cell r="BW134">
            <v>43644</v>
          </cell>
          <cell r="BY134" t="str">
            <v>EA</v>
          </cell>
        </row>
        <row r="135">
          <cell r="C135" t="str">
            <v>VP9L3H-19A593-CA</v>
          </cell>
          <cell r="D135">
            <v>2500</v>
          </cell>
          <cell r="E135" t="str">
            <v>GSKT-A/C LINE SEAL'G</v>
          </cell>
          <cell r="F135">
            <v>0</v>
          </cell>
          <cell r="G135">
            <v>50000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21615</v>
          </cell>
          <cell r="N135">
            <v>-14115</v>
          </cell>
          <cell r="O135">
            <v>0</v>
          </cell>
          <cell r="P135">
            <v>75265</v>
          </cell>
          <cell r="Q135">
            <v>0</v>
          </cell>
          <cell r="R135">
            <v>6200</v>
          </cell>
          <cell r="S135">
            <v>364</v>
          </cell>
          <cell r="T135">
            <v>0</v>
          </cell>
          <cell r="U135">
            <v>860</v>
          </cell>
          <cell r="V135">
            <v>782</v>
          </cell>
          <cell r="W135">
            <v>0</v>
          </cell>
          <cell r="X135">
            <v>138</v>
          </cell>
          <cell r="Y135">
            <v>0</v>
          </cell>
          <cell r="Z135">
            <v>0</v>
          </cell>
          <cell r="AA135">
            <v>0</v>
          </cell>
          <cell r="AB135">
            <v>1014</v>
          </cell>
          <cell r="AC135">
            <v>178</v>
          </cell>
          <cell r="AD135">
            <v>870</v>
          </cell>
          <cell r="AE135">
            <v>138</v>
          </cell>
          <cell r="AF135">
            <v>0</v>
          </cell>
          <cell r="AG135">
            <v>0</v>
          </cell>
          <cell r="AH135">
            <v>1780</v>
          </cell>
          <cell r="AI135">
            <v>2200</v>
          </cell>
          <cell r="AJ135">
            <v>1302</v>
          </cell>
          <cell r="AK135">
            <v>2091</v>
          </cell>
          <cell r="AL135">
            <v>1763</v>
          </cell>
          <cell r="AM135">
            <v>1302</v>
          </cell>
          <cell r="AN135">
            <v>1899</v>
          </cell>
          <cell r="AO135">
            <v>2087</v>
          </cell>
          <cell r="AP135">
            <v>1605</v>
          </cell>
          <cell r="AQ135">
            <v>1481</v>
          </cell>
          <cell r="AR135">
            <v>1562</v>
          </cell>
          <cell r="AS135">
            <v>1284</v>
          </cell>
          <cell r="AT135">
            <v>4000</v>
          </cell>
          <cell r="AW135">
            <v>5100001846</v>
          </cell>
          <cell r="AX135" t="str">
            <v>PARKER HANNIFIN CORPORAT</v>
          </cell>
          <cell r="AY135" t="str">
            <v xml:space="preserve">US </v>
          </cell>
          <cell r="AZ135">
            <v>9</v>
          </cell>
          <cell r="BB135" t="str">
            <v>AADTD</v>
          </cell>
          <cell r="BC135" t="str">
            <v>AADTD-06.08.2026-(21B3)-JHUB</v>
          </cell>
          <cell r="BD135">
            <v>6750</v>
          </cell>
          <cell r="BE135">
            <v>7500</v>
          </cell>
          <cell r="BF135">
            <v>1733.8181818181818</v>
          </cell>
          <cell r="BG135">
            <v>0.29189999999999999</v>
          </cell>
          <cell r="BH135">
            <v>56200</v>
          </cell>
          <cell r="BI135">
            <v>32.414010067114098</v>
          </cell>
          <cell r="BJ135">
            <v>16404.78</v>
          </cell>
          <cell r="BK135">
            <v>46375.484060402683</v>
          </cell>
          <cell r="BL135">
            <v>194.48406040268458</v>
          </cell>
          <cell r="BM135" t="str">
            <v>0</v>
          </cell>
          <cell r="BN135">
            <v>6200</v>
          </cell>
          <cell r="BO135">
            <v>6200</v>
          </cell>
          <cell r="BP135">
            <v>5340</v>
          </cell>
          <cell r="BQ135">
            <v>4558</v>
          </cell>
          <cell r="BR135">
            <v>4558</v>
          </cell>
          <cell r="BS135">
            <v>4420</v>
          </cell>
          <cell r="BT135">
            <v>4420</v>
          </cell>
          <cell r="BU135">
            <v>3406</v>
          </cell>
          <cell r="BV135">
            <v>3228</v>
          </cell>
          <cell r="BW135">
            <v>2358</v>
          </cell>
          <cell r="BX135" t="str">
            <v>VP9L3H-19A593-CA</v>
          </cell>
          <cell r="BY135" t="str">
            <v>EA</v>
          </cell>
        </row>
        <row r="136">
          <cell r="C136" t="str">
            <v>VPEMMH-19D702-AA</v>
          </cell>
          <cell r="D136">
            <v>5000</v>
          </cell>
          <cell r="E136" t="str">
            <v>Cap Assy - A/C Charge Va Low Side Thread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-85</v>
          </cell>
          <cell r="N136">
            <v>1085</v>
          </cell>
          <cell r="O136">
            <v>0</v>
          </cell>
          <cell r="P136">
            <v>3915</v>
          </cell>
          <cell r="Q136">
            <v>0</v>
          </cell>
          <cell r="R136">
            <v>1937</v>
          </cell>
          <cell r="S136">
            <v>0</v>
          </cell>
          <cell r="T136">
            <v>0</v>
          </cell>
          <cell r="U136">
            <v>0</v>
          </cell>
          <cell r="V136">
            <v>180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180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180</v>
          </cell>
          <cell r="AI136">
            <v>180</v>
          </cell>
          <cell r="AJ136">
            <v>180</v>
          </cell>
          <cell r="AK136">
            <v>81</v>
          </cell>
          <cell r="AL136">
            <v>100</v>
          </cell>
          <cell r="AM136">
            <v>101</v>
          </cell>
          <cell r="AN136">
            <v>101</v>
          </cell>
          <cell r="AO136">
            <v>0</v>
          </cell>
          <cell r="AP136">
            <v>104</v>
          </cell>
          <cell r="AQ136">
            <v>0</v>
          </cell>
          <cell r="AR136">
            <v>100</v>
          </cell>
          <cell r="AS136">
            <v>100</v>
          </cell>
          <cell r="AT136">
            <v>1757</v>
          </cell>
          <cell r="AW136">
            <v>5100001667</v>
          </cell>
          <cell r="AX136" t="str">
            <v>ESSENTRA PLASTICS,LLC DB</v>
          </cell>
          <cell r="AY136" t="str">
            <v xml:space="preserve">US </v>
          </cell>
          <cell r="AZ136">
            <v>9</v>
          </cell>
          <cell r="BB136" t="str">
            <v>AADTD</v>
          </cell>
          <cell r="BC136" t="str">
            <v>AADTD-06.08.2026-(21B3)-EPDC</v>
          </cell>
          <cell r="BE136">
            <v>1000</v>
          </cell>
          <cell r="BF136">
            <v>102.45454545454545</v>
          </cell>
          <cell r="BG136">
            <v>0.1157</v>
          </cell>
          <cell r="BH136">
            <v>1937</v>
          </cell>
          <cell r="BI136">
            <v>18.905944986690329</v>
          </cell>
          <cell r="BJ136">
            <v>224.11089999999999</v>
          </cell>
          <cell r="BK136">
            <v>46294.435669920145</v>
          </cell>
          <cell r="BL136">
            <v>113.43566992014198</v>
          </cell>
          <cell r="BM136" t="str">
            <v>0</v>
          </cell>
          <cell r="BN136">
            <v>1937</v>
          </cell>
          <cell r="BO136">
            <v>1937</v>
          </cell>
          <cell r="BP136">
            <v>1937</v>
          </cell>
          <cell r="BQ136">
            <v>1757</v>
          </cell>
          <cell r="BR136">
            <v>1757</v>
          </cell>
          <cell r="BS136">
            <v>1757</v>
          </cell>
          <cell r="BT136">
            <v>1757</v>
          </cell>
          <cell r="BU136">
            <v>1757</v>
          </cell>
          <cell r="BV136">
            <v>1577</v>
          </cell>
          <cell r="BW136">
            <v>1577</v>
          </cell>
          <cell r="BY136" t="str">
            <v>EA</v>
          </cell>
        </row>
        <row r="137">
          <cell r="C137" t="str">
            <v>01324377-01-0000</v>
          </cell>
          <cell r="D137">
            <v>240</v>
          </cell>
          <cell r="E137" t="str">
            <v>PRESSURE T/SWITCH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1000</v>
          </cell>
          <cell r="O137">
            <v>0</v>
          </cell>
          <cell r="P137">
            <v>6021</v>
          </cell>
          <cell r="Q137">
            <v>0</v>
          </cell>
          <cell r="R137">
            <v>6021</v>
          </cell>
          <cell r="S137">
            <v>240</v>
          </cell>
          <cell r="T137">
            <v>0</v>
          </cell>
          <cell r="U137">
            <v>0</v>
          </cell>
          <cell r="V137">
            <v>19</v>
          </cell>
          <cell r="W137">
            <v>0</v>
          </cell>
          <cell r="X137">
            <v>79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104</v>
          </cell>
          <cell r="AD137">
            <v>0</v>
          </cell>
          <cell r="AE137">
            <v>79</v>
          </cell>
          <cell r="AF137">
            <v>0</v>
          </cell>
          <cell r="AG137">
            <v>0</v>
          </cell>
          <cell r="AH137">
            <v>98</v>
          </cell>
          <cell r="AI137">
            <v>183</v>
          </cell>
          <cell r="AJ137">
            <v>64</v>
          </cell>
          <cell r="AK137">
            <v>397</v>
          </cell>
          <cell r="AL137">
            <v>354</v>
          </cell>
          <cell r="AM137">
            <v>200</v>
          </cell>
          <cell r="AN137">
            <v>459</v>
          </cell>
          <cell r="AO137">
            <v>348</v>
          </cell>
          <cell r="AP137">
            <v>230</v>
          </cell>
          <cell r="AQ137">
            <v>412</v>
          </cell>
          <cell r="AR137">
            <v>436</v>
          </cell>
          <cell r="AS137">
            <v>309</v>
          </cell>
          <cell r="AT137">
            <v>5838</v>
          </cell>
          <cell r="AV137" t="str">
            <v xml:space="preserve">Servicios </v>
          </cell>
          <cell r="AW137">
            <v>5100001927</v>
          </cell>
          <cell r="AX137" t="str">
            <v>SENSATA TECHNOLOGIES INC</v>
          </cell>
          <cell r="AY137" t="str">
            <v xml:space="preserve">MX </v>
          </cell>
          <cell r="AZ137">
            <v>9</v>
          </cell>
          <cell r="BB137" t="str">
            <v>AADTD</v>
          </cell>
          <cell r="BC137" t="str">
            <v>AADTD-06.08.2026-(21B3)-EPDC</v>
          </cell>
          <cell r="BE137">
            <v>1000</v>
          </cell>
          <cell r="BF137">
            <v>289.18181818181819</v>
          </cell>
          <cell r="BG137">
            <v>3.99</v>
          </cell>
          <cell r="BH137">
            <v>6021</v>
          </cell>
          <cell r="BI137">
            <v>20.82081106570261</v>
          </cell>
          <cell r="BJ137">
            <v>24023.79</v>
          </cell>
          <cell r="BK137">
            <v>46305.924866394213</v>
          </cell>
          <cell r="BL137">
            <v>124.92486639421566</v>
          </cell>
          <cell r="BM137" t="str">
            <v>0</v>
          </cell>
          <cell r="BN137">
            <v>6021</v>
          </cell>
          <cell r="BO137">
            <v>6021</v>
          </cell>
          <cell r="BP137">
            <v>6021</v>
          </cell>
          <cell r="BQ137">
            <v>6002</v>
          </cell>
          <cell r="BR137">
            <v>6002</v>
          </cell>
          <cell r="BS137">
            <v>5923</v>
          </cell>
          <cell r="BT137">
            <v>5923</v>
          </cell>
          <cell r="BU137">
            <v>5923</v>
          </cell>
          <cell r="BV137">
            <v>5819</v>
          </cell>
          <cell r="BW137">
            <v>5819</v>
          </cell>
          <cell r="BY137" t="str">
            <v>EA</v>
          </cell>
        </row>
        <row r="138">
          <cell r="C138" t="str">
            <v>VP9ASH-19E889-BA</v>
          </cell>
          <cell r="D138">
            <v>20000</v>
          </cell>
          <cell r="E138" t="str">
            <v>O-RING FLUID TRANSPORT A/C LINE O-RING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-2825</v>
          </cell>
          <cell r="N138">
            <v>32825</v>
          </cell>
          <cell r="O138">
            <v>0</v>
          </cell>
          <cell r="P138">
            <v>79559</v>
          </cell>
          <cell r="Q138">
            <v>0</v>
          </cell>
          <cell r="R138">
            <v>79384</v>
          </cell>
          <cell r="S138">
            <v>271</v>
          </cell>
          <cell r="T138">
            <v>320</v>
          </cell>
          <cell r="U138">
            <v>1288</v>
          </cell>
          <cell r="V138">
            <v>320</v>
          </cell>
          <cell r="W138">
            <v>322</v>
          </cell>
          <cell r="X138">
            <v>320</v>
          </cell>
          <cell r="Y138">
            <v>0</v>
          </cell>
          <cell r="Z138">
            <v>0</v>
          </cell>
          <cell r="AA138">
            <v>320</v>
          </cell>
          <cell r="AB138">
            <v>320</v>
          </cell>
          <cell r="AC138">
            <v>320</v>
          </cell>
          <cell r="AD138">
            <v>322</v>
          </cell>
          <cell r="AE138">
            <v>356</v>
          </cell>
          <cell r="AF138">
            <v>0</v>
          </cell>
          <cell r="AG138">
            <v>0</v>
          </cell>
          <cell r="AH138">
            <v>2570</v>
          </cell>
          <cell r="AI138">
            <v>1638</v>
          </cell>
          <cell r="AJ138">
            <v>1602</v>
          </cell>
          <cell r="AK138">
            <v>1682</v>
          </cell>
          <cell r="AL138">
            <v>1500</v>
          </cell>
          <cell r="AM138">
            <v>1502</v>
          </cell>
          <cell r="AN138">
            <v>2720</v>
          </cell>
          <cell r="AO138">
            <v>1500</v>
          </cell>
          <cell r="AP138">
            <v>1504</v>
          </cell>
          <cell r="AQ138">
            <v>1800</v>
          </cell>
          <cell r="AR138">
            <v>1800</v>
          </cell>
          <cell r="AS138">
            <v>1800</v>
          </cell>
          <cell r="AT138">
            <v>77746</v>
          </cell>
          <cell r="AV138" t="str">
            <v>Cambiar el safety stock en Enero 2026</v>
          </cell>
          <cell r="AW138">
            <v>5100001755</v>
          </cell>
          <cell r="AX138" t="str">
            <v>PARKER HANNIFIN CORP</v>
          </cell>
          <cell r="AY138" t="str">
            <v xml:space="preserve">US </v>
          </cell>
          <cell r="AZ138">
            <v>9</v>
          </cell>
          <cell r="BB138" t="str">
            <v>AADTD</v>
          </cell>
          <cell r="BC138" t="str">
            <v>AADTD-06.08.2026-(21B3)-EPDC</v>
          </cell>
          <cell r="BE138">
            <v>30000</v>
          </cell>
          <cell r="BF138">
            <v>1801.6363636363637</v>
          </cell>
          <cell r="BG138">
            <v>2.75E-2</v>
          </cell>
          <cell r="BH138">
            <v>79384</v>
          </cell>
          <cell r="BI138">
            <v>44.06216570794227</v>
          </cell>
          <cell r="BJ138">
            <v>2183.06</v>
          </cell>
          <cell r="BK138">
            <v>46445.372994247657</v>
          </cell>
          <cell r="BL138">
            <v>264.37299424765365</v>
          </cell>
          <cell r="BM138" t="str">
            <v>0</v>
          </cell>
          <cell r="BN138">
            <v>79384</v>
          </cell>
          <cell r="BO138">
            <v>79064</v>
          </cell>
          <cell r="BP138">
            <v>77776</v>
          </cell>
          <cell r="BQ138">
            <v>77456</v>
          </cell>
          <cell r="BR138">
            <v>77134</v>
          </cell>
          <cell r="BS138">
            <v>76814</v>
          </cell>
          <cell r="BT138">
            <v>76494</v>
          </cell>
          <cell r="BU138">
            <v>76174</v>
          </cell>
          <cell r="BV138">
            <v>75854</v>
          </cell>
          <cell r="BW138">
            <v>75532</v>
          </cell>
          <cell r="BY138" t="str">
            <v>EA</v>
          </cell>
        </row>
        <row r="139">
          <cell r="C139" t="str">
            <v>FC1C0F2SBF01</v>
          </cell>
          <cell r="D139">
            <v>90</v>
          </cell>
          <cell r="E139" t="str">
            <v>SLV NVH RUBBER NON SLT D31_T7_L0270</v>
          </cell>
          <cell r="F139">
            <v>0</v>
          </cell>
          <cell r="G139">
            <v>0</v>
          </cell>
          <cell r="I139">
            <v>0</v>
          </cell>
          <cell r="M139">
            <v>-20</v>
          </cell>
          <cell r="N139">
            <v>7520</v>
          </cell>
          <cell r="O139">
            <v>0</v>
          </cell>
          <cell r="Q139">
            <v>0</v>
          </cell>
          <cell r="R139">
            <v>450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72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72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378</v>
          </cell>
          <cell r="AW139">
            <v>5100005267</v>
          </cell>
          <cell r="AX139" t="str">
            <v>COLONIAL DPP LLC</v>
          </cell>
          <cell r="AY139" t="str">
            <v xml:space="preserve">US </v>
          </cell>
          <cell r="AZ139">
            <v>9</v>
          </cell>
          <cell r="BB139" t="str">
            <v>AADTD</v>
          </cell>
          <cell r="BC139" t="str">
            <v>AADTD-06.08.2026-(21B3)-EPDC</v>
          </cell>
          <cell r="BD139">
            <v>5000</v>
          </cell>
          <cell r="BE139">
            <v>7500</v>
          </cell>
          <cell r="BF139">
            <v>6.5454545454545459</v>
          </cell>
          <cell r="BG139">
            <v>1.2190000000000001</v>
          </cell>
          <cell r="BH139">
            <v>450</v>
          </cell>
          <cell r="BI139">
            <v>68.75</v>
          </cell>
          <cell r="BJ139">
            <v>548.55000000000007</v>
          </cell>
          <cell r="BK139">
            <v>46593.5</v>
          </cell>
          <cell r="BL139">
            <v>412.5</v>
          </cell>
          <cell r="BM139" t="str">
            <v>0</v>
          </cell>
          <cell r="BN139">
            <v>450</v>
          </cell>
          <cell r="BO139">
            <v>450</v>
          </cell>
          <cell r="BP139">
            <v>450</v>
          </cell>
          <cell r="BQ139">
            <v>450</v>
          </cell>
          <cell r="BR139">
            <v>450</v>
          </cell>
          <cell r="BS139">
            <v>450</v>
          </cell>
          <cell r="BT139">
            <v>450</v>
          </cell>
          <cell r="BU139">
            <v>450</v>
          </cell>
          <cell r="BV139">
            <v>450</v>
          </cell>
          <cell r="BW139">
            <v>378</v>
          </cell>
          <cell r="BX139" t="str">
            <v>FC1C0F2SBF01</v>
          </cell>
          <cell r="BY139" t="str">
            <v>EA</v>
          </cell>
        </row>
        <row r="140">
          <cell r="C140" t="str">
            <v>VP7L2H-19E778-AB</v>
          </cell>
          <cell r="D140">
            <v>1000</v>
          </cell>
          <cell r="E140" t="str">
            <v>SHP'G/CAP-DSL/M 1/2" Male 90º DSL cap</v>
          </cell>
          <cell r="F140">
            <v>0</v>
          </cell>
          <cell r="G140">
            <v>3000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252</v>
          </cell>
          <cell r="N140">
            <v>3748</v>
          </cell>
          <cell r="O140">
            <v>0</v>
          </cell>
          <cell r="P140">
            <v>4752</v>
          </cell>
          <cell r="Q140">
            <v>0</v>
          </cell>
          <cell r="R140">
            <v>1500</v>
          </cell>
          <cell r="S140">
            <v>62</v>
          </cell>
          <cell r="T140">
            <v>0</v>
          </cell>
          <cell r="U140">
            <v>2</v>
          </cell>
          <cell r="V140">
            <v>2</v>
          </cell>
          <cell r="W140">
            <v>0</v>
          </cell>
          <cell r="X140">
            <v>53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53</v>
          </cell>
          <cell r="AF140">
            <v>0</v>
          </cell>
          <cell r="AG140">
            <v>0</v>
          </cell>
          <cell r="AH140">
            <v>57</v>
          </cell>
          <cell r="AI140">
            <v>53</v>
          </cell>
          <cell r="AJ140">
            <v>0</v>
          </cell>
          <cell r="AK140">
            <v>0</v>
          </cell>
          <cell r="AL140">
            <v>110</v>
          </cell>
          <cell r="AM140">
            <v>0</v>
          </cell>
          <cell r="AN140">
            <v>1</v>
          </cell>
          <cell r="AO140">
            <v>7</v>
          </cell>
          <cell r="AP140">
            <v>185</v>
          </cell>
          <cell r="AQ140">
            <v>7</v>
          </cell>
          <cell r="AR140">
            <v>30</v>
          </cell>
          <cell r="AS140">
            <v>0</v>
          </cell>
          <cell r="AT140">
            <v>1447</v>
          </cell>
          <cell r="AW140">
            <v>5100002097</v>
          </cell>
          <cell r="AX140" t="str">
            <v>POLYMER MOLDING INC</v>
          </cell>
          <cell r="AY140" t="str">
            <v xml:space="preserve">US </v>
          </cell>
          <cell r="AZ140">
            <v>9</v>
          </cell>
          <cell r="BB140" t="str">
            <v>AADTD</v>
          </cell>
          <cell r="BC140" t="str">
            <v>AADTD-06.08.2026-(21B3)-JHUB</v>
          </cell>
          <cell r="BE140">
            <v>4000</v>
          </cell>
          <cell r="BF140">
            <v>40.909090909090907</v>
          </cell>
          <cell r="BG140">
            <v>6.5000000000000002E-2</v>
          </cell>
          <cell r="BH140">
            <v>4500</v>
          </cell>
          <cell r="BI140">
            <v>110</v>
          </cell>
          <cell r="BJ140">
            <v>292.5</v>
          </cell>
          <cell r="BK140">
            <v>46841</v>
          </cell>
          <cell r="BL140">
            <v>660</v>
          </cell>
          <cell r="BM140" t="str">
            <v>0</v>
          </cell>
          <cell r="BN140">
            <v>1500</v>
          </cell>
          <cell r="BO140">
            <v>1500</v>
          </cell>
          <cell r="BP140">
            <v>1498</v>
          </cell>
          <cell r="BQ140">
            <v>1496</v>
          </cell>
          <cell r="BR140">
            <v>1496</v>
          </cell>
          <cell r="BS140">
            <v>1443</v>
          </cell>
          <cell r="BT140">
            <v>1443</v>
          </cell>
          <cell r="BU140">
            <v>1443</v>
          </cell>
          <cell r="BV140">
            <v>1443</v>
          </cell>
          <cell r="BW140">
            <v>1443</v>
          </cell>
          <cell r="BX140" t="str">
            <v>VP7L2H-19E778-AB</v>
          </cell>
          <cell r="BY140" t="str">
            <v>EA</v>
          </cell>
        </row>
        <row r="141">
          <cell r="C141" t="str">
            <v>FC1U5F2S3A01</v>
          </cell>
          <cell r="D141">
            <v>279</v>
          </cell>
          <cell r="E141" t="str">
            <v>H-PLATE Swinging Die Cast  3/4"</v>
          </cell>
          <cell r="F141">
            <v>0</v>
          </cell>
          <cell r="G141">
            <v>9207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10323</v>
          </cell>
          <cell r="Q141">
            <v>0</v>
          </cell>
          <cell r="R141">
            <v>1116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1116</v>
          </cell>
          <cell r="AW141">
            <v>5100001667</v>
          </cell>
          <cell r="AX141" t="str">
            <v>WTI (USA) LLC</v>
          </cell>
          <cell r="AY141" t="str">
            <v xml:space="preserve">US </v>
          </cell>
          <cell r="AZ141" t="e">
            <v>#N/A</v>
          </cell>
          <cell r="BB141" t="str">
            <v>AADTD</v>
          </cell>
          <cell r="BC141" t="str">
            <v>AADTD-06.08.2026-(21B3)-JHUB</v>
          </cell>
          <cell r="BE141">
            <v>0</v>
          </cell>
          <cell r="BF141">
            <v>0</v>
          </cell>
          <cell r="BG141">
            <v>0.53189999999999993</v>
          </cell>
          <cell r="BH141">
            <v>10323</v>
          </cell>
          <cell r="BI141" t="e">
            <v>#DIV/0!</v>
          </cell>
          <cell r="BJ141">
            <v>5490.8036999999995</v>
          </cell>
          <cell r="BK141" t="e">
            <v>#DIV/0!</v>
          </cell>
          <cell r="BL141" t="e">
            <v>#DIV/0!</v>
          </cell>
          <cell r="BM141" t="str">
            <v>0</v>
          </cell>
          <cell r="BN141">
            <v>1116</v>
          </cell>
          <cell r="BO141">
            <v>1116</v>
          </cell>
          <cell r="BP141">
            <v>1116</v>
          </cell>
          <cell r="BQ141">
            <v>1116</v>
          </cell>
          <cell r="BR141">
            <v>1116</v>
          </cell>
          <cell r="BS141">
            <v>1116</v>
          </cell>
          <cell r="BT141">
            <v>1116</v>
          </cell>
          <cell r="BU141">
            <v>1116</v>
          </cell>
          <cell r="BV141">
            <v>1116</v>
          </cell>
          <cell r="BW141">
            <v>1116</v>
          </cell>
          <cell r="BY141" t="str">
            <v>EA</v>
          </cell>
        </row>
        <row r="142">
          <cell r="C142" t="str">
            <v>1L2H-048B60-LA</v>
          </cell>
          <cell r="D142">
            <v>5000</v>
          </cell>
          <cell r="E142" t="str">
            <v>Label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15000</v>
          </cell>
          <cell r="Q142">
            <v>0</v>
          </cell>
          <cell r="R142">
            <v>15000</v>
          </cell>
          <cell r="S142">
            <v>0</v>
          </cell>
          <cell r="T142">
            <v>0</v>
          </cell>
          <cell r="U142">
            <v>64</v>
          </cell>
          <cell r="V142">
            <v>120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120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184</v>
          </cell>
          <cell r="AI142">
            <v>120</v>
          </cell>
          <cell r="AJ142">
            <v>120</v>
          </cell>
          <cell r="AK142">
            <v>120</v>
          </cell>
          <cell r="AL142">
            <v>120</v>
          </cell>
          <cell r="AM142">
            <v>120</v>
          </cell>
          <cell r="AN142">
            <v>200</v>
          </cell>
          <cell r="AO142">
            <v>80</v>
          </cell>
          <cell r="AP142">
            <v>80</v>
          </cell>
          <cell r="AQ142">
            <v>80</v>
          </cell>
          <cell r="AR142">
            <v>200</v>
          </cell>
          <cell r="AS142">
            <v>200</v>
          </cell>
          <cell r="AT142">
            <v>14880</v>
          </cell>
          <cell r="AV142" t="str">
            <v>Cambiar el safety stock en Mayo 2026</v>
          </cell>
          <cell r="AW142">
            <v>5100001743</v>
          </cell>
          <cell r="AX142" t="str">
            <v>GENERAL LABELS AND PRINT</v>
          </cell>
          <cell r="AY142" t="str">
            <v xml:space="preserve">US </v>
          </cell>
          <cell r="AZ142">
            <v>9</v>
          </cell>
          <cell r="BB142" t="str">
            <v>AADTD</v>
          </cell>
          <cell r="BC142" t="str">
            <v>AADTD-06.08.2026-(21B3)-EPDC</v>
          </cell>
          <cell r="BE142">
            <v>0</v>
          </cell>
          <cell r="BF142">
            <v>129.45454545454547</v>
          </cell>
          <cell r="BG142">
            <v>2.8289999999999999E-2</v>
          </cell>
          <cell r="BH142">
            <v>15000</v>
          </cell>
          <cell r="BI142">
            <v>115.87078651685393</v>
          </cell>
          <cell r="BJ142">
            <v>424.34999999999997</v>
          </cell>
          <cell r="BK142">
            <v>46876.224719101127</v>
          </cell>
          <cell r="BL142">
            <v>695.22471910112358</v>
          </cell>
          <cell r="BM142" t="str">
            <v>0</v>
          </cell>
          <cell r="BN142">
            <v>15000</v>
          </cell>
          <cell r="BO142">
            <v>15000</v>
          </cell>
          <cell r="BP142">
            <v>14936</v>
          </cell>
          <cell r="BQ142">
            <v>14816</v>
          </cell>
          <cell r="BR142">
            <v>14816</v>
          </cell>
          <cell r="BS142">
            <v>14816</v>
          </cell>
          <cell r="BT142">
            <v>14816</v>
          </cell>
          <cell r="BU142">
            <v>14816</v>
          </cell>
          <cell r="BV142">
            <v>14696</v>
          </cell>
          <cell r="BW142">
            <v>14696</v>
          </cell>
          <cell r="BY142" t="str">
            <v>EA</v>
          </cell>
        </row>
        <row r="143">
          <cell r="C143" t="str">
            <v>1L2H-048B60-EA</v>
          </cell>
          <cell r="D143">
            <v>14280</v>
          </cell>
          <cell r="E143" t="str">
            <v>Label (Bulk) Blank light green</v>
          </cell>
          <cell r="F143">
            <v>0</v>
          </cell>
          <cell r="G143">
            <v>128520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21750</v>
          </cell>
          <cell r="N143">
            <v>-18750</v>
          </cell>
          <cell r="O143">
            <v>0</v>
          </cell>
          <cell r="P143">
            <v>189390</v>
          </cell>
          <cell r="Q143">
            <v>0</v>
          </cell>
          <cell r="R143">
            <v>39120</v>
          </cell>
          <cell r="S143">
            <v>22</v>
          </cell>
          <cell r="T143">
            <v>250</v>
          </cell>
          <cell r="U143">
            <v>400</v>
          </cell>
          <cell r="V143">
            <v>20</v>
          </cell>
          <cell r="W143">
            <v>180</v>
          </cell>
          <cell r="X143">
            <v>406</v>
          </cell>
          <cell r="Y143">
            <v>0</v>
          </cell>
          <cell r="Z143">
            <v>0</v>
          </cell>
          <cell r="AA143">
            <v>180</v>
          </cell>
          <cell r="AB143">
            <v>250</v>
          </cell>
          <cell r="AC143">
            <v>40</v>
          </cell>
          <cell r="AD143">
            <v>300</v>
          </cell>
          <cell r="AE143">
            <v>186</v>
          </cell>
          <cell r="AF143">
            <v>0</v>
          </cell>
          <cell r="AG143">
            <v>0</v>
          </cell>
          <cell r="AH143">
            <v>1256</v>
          </cell>
          <cell r="AI143">
            <v>956</v>
          </cell>
          <cell r="AJ143">
            <v>1120</v>
          </cell>
          <cell r="AK143">
            <v>1700</v>
          </cell>
          <cell r="AL143">
            <v>1451</v>
          </cell>
          <cell r="AM143">
            <v>1170</v>
          </cell>
          <cell r="AN143">
            <v>1247</v>
          </cell>
          <cell r="AO143">
            <v>1410</v>
          </cell>
          <cell r="AP143">
            <v>1360</v>
          </cell>
          <cell r="AQ143">
            <v>1880</v>
          </cell>
          <cell r="AR143">
            <v>1686</v>
          </cell>
          <cell r="AS143">
            <v>1180</v>
          </cell>
          <cell r="AT143">
            <v>38164</v>
          </cell>
          <cell r="AW143">
            <v>5100001743</v>
          </cell>
          <cell r="AX143" t="str">
            <v>GENERAL LABELS AND PRINT</v>
          </cell>
          <cell r="AY143" t="str">
            <v xml:space="preserve">US </v>
          </cell>
          <cell r="AZ143">
            <v>9</v>
          </cell>
          <cell r="BB143" t="str">
            <v>AADTD</v>
          </cell>
          <cell r="BC143" t="str">
            <v>AADTD-06.08.2026-(21B3)-JHUB</v>
          </cell>
          <cell r="BE143">
            <v>3000</v>
          </cell>
          <cell r="BF143">
            <v>1385.090909090909</v>
          </cell>
          <cell r="BG143">
            <v>2.5729999999999999E-2</v>
          </cell>
          <cell r="BH143">
            <v>167640</v>
          </cell>
          <cell r="BI143">
            <v>121.03176686794436</v>
          </cell>
          <cell r="BJ143">
            <v>4313.3771999999999</v>
          </cell>
          <cell r="BK143">
            <v>46907.190601207665</v>
          </cell>
          <cell r="BL143">
            <v>726.19060120766608</v>
          </cell>
          <cell r="BM143" t="str">
            <v>0</v>
          </cell>
          <cell r="BN143">
            <v>39120</v>
          </cell>
          <cell r="BO143">
            <v>38870</v>
          </cell>
          <cell r="BP143">
            <v>38470</v>
          </cell>
          <cell r="BQ143">
            <v>38450</v>
          </cell>
          <cell r="BR143">
            <v>38270</v>
          </cell>
          <cell r="BS143">
            <v>37864</v>
          </cell>
          <cell r="BT143">
            <v>37684</v>
          </cell>
          <cell r="BU143">
            <v>37434</v>
          </cell>
          <cell r="BV143">
            <v>37394</v>
          </cell>
          <cell r="BW143">
            <v>37094</v>
          </cell>
          <cell r="BY143" t="str">
            <v>EA</v>
          </cell>
        </row>
        <row r="144">
          <cell r="C144" t="str">
            <v>1W1H-19E889-EAS300</v>
          </cell>
          <cell r="D144">
            <v>15000</v>
          </cell>
          <cell r="E144" t="str">
            <v>O-RING FLUID TRANSPORT</v>
          </cell>
          <cell r="F144">
            <v>0</v>
          </cell>
          <cell r="G144">
            <v>50000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11871</v>
          </cell>
          <cell r="N144">
            <v>-11871</v>
          </cell>
          <cell r="O144">
            <v>0</v>
          </cell>
          <cell r="P144">
            <v>114871</v>
          </cell>
          <cell r="Q144">
            <v>0</v>
          </cell>
          <cell r="R144">
            <v>53000</v>
          </cell>
          <cell r="S144">
            <v>11</v>
          </cell>
          <cell r="T144">
            <v>160</v>
          </cell>
          <cell r="U144">
            <v>190</v>
          </cell>
          <cell r="V144">
            <v>160</v>
          </cell>
          <cell r="W144">
            <v>161</v>
          </cell>
          <cell r="X144">
            <v>169</v>
          </cell>
          <cell r="Y144">
            <v>0</v>
          </cell>
          <cell r="Z144">
            <v>0</v>
          </cell>
          <cell r="AA144">
            <v>160</v>
          </cell>
          <cell r="AB144">
            <v>160</v>
          </cell>
          <cell r="AC144">
            <v>160</v>
          </cell>
          <cell r="AD144">
            <v>161</v>
          </cell>
          <cell r="AE144">
            <v>169</v>
          </cell>
          <cell r="AF144">
            <v>0</v>
          </cell>
          <cell r="AG144">
            <v>0</v>
          </cell>
          <cell r="AH144">
            <v>840</v>
          </cell>
          <cell r="AI144">
            <v>810</v>
          </cell>
          <cell r="AJ144">
            <v>801</v>
          </cell>
          <cell r="AK144">
            <v>804</v>
          </cell>
          <cell r="AL144">
            <v>818</v>
          </cell>
          <cell r="AM144">
            <v>751</v>
          </cell>
          <cell r="AN144">
            <v>751</v>
          </cell>
          <cell r="AO144">
            <v>750</v>
          </cell>
          <cell r="AP144">
            <v>752</v>
          </cell>
          <cell r="AQ144">
            <v>991</v>
          </cell>
          <cell r="AR144">
            <v>900</v>
          </cell>
          <cell r="AS144">
            <v>900</v>
          </cell>
          <cell r="AT144">
            <v>52190</v>
          </cell>
          <cell r="AV144" t="str">
            <v>Cambiar el safety stock en Mayo 2026</v>
          </cell>
          <cell r="AW144">
            <v>5100001749</v>
          </cell>
          <cell r="AX144" t="str">
            <v>TRELLEBORG SEALING SOLUT</v>
          </cell>
          <cell r="AY144" t="str">
            <v xml:space="preserve">US </v>
          </cell>
          <cell r="AZ144">
            <v>9</v>
          </cell>
          <cell r="BB144" t="str">
            <v>AADTD</v>
          </cell>
          <cell r="BC144" t="str">
            <v>AADTD-06.08.2026-(21B3)-JHUB</v>
          </cell>
          <cell r="BE144">
            <v>0</v>
          </cell>
          <cell r="BF144">
            <v>815.27272727272725</v>
          </cell>
          <cell r="BG144">
            <v>3.2000000000000001E-2</v>
          </cell>
          <cell r="BH144">
            <v>103000</v>
          </cell>
          <cell r="BI144">
            <v>126.33809099018734</v>
          </cell>
          <cell r="BJ144">
            <v>3296</v>
          </cell>
          <cell r="BK144">
            <v>46939.028545941124</v>
          </cell>
          <cell r="BL144">
            <v>758.02854594112409</v>
          </cell>
          <cell r="BM144" t="str">
            <v>0</v>
          </cell>
          <cell r="BN144">
            <v>53000</v>
          </cell>
          <cell r="BO144">
            <v>52840</v>
          </cell>
          <cell r="BP144">
            <v>52650</v>
          </cell>
          <cell r="BQ144">
            <v>52490</v>
          </cell>
          <cell r="BR144">
            <v>52329</v>
          </cell>
          <cell r="BS144">
            <v>52160</v>
          </cell>
          <cell r="BT144">
            <v>52000</v>
          </cell>
          <cell r="BU144">
            <v>51840</v>
          </cell>
          <cell r="BV144">
            <v>51680</v>
          </cell>
          <cell r="BW144">
            <v>51519</v>
          </cell>
          <cell r="BY144" t="str">
            <v>EA</v>
          </cell>
        </row>
        <row r="145">
          <cell r="C145" t="str">
            <v>FC1B4F2S2F01</v>
          </cell>
          <cell r="D145">
            <v>500</v>
          </cell>
          <cell r="E145" t="str">
            <v>SLV HT ALU SELF WRAP SLV HT ALU SELF WRA</v>
          </cell>
          <cell r="F145">
            <v>0</v>
          </cell>
          <cell r="G145">
            <v>0</v>
          </cell>
          <cell r="I145">
            <v>0</v>
          </cell>
          <cell r="M145">
            <v>419</v>
          </cell>
          <cell r="N145">
            <v>4581</v>
          </cell>
          <cell r="O145">
            <v>0</v>
          </cell>
          <cell r="Q145">
            <v>0</v>
          </cell>
          <cell r="R145">
            <v>5000</v>
          </cell>
          <cell r="S145">
            <v>0</v>
          </cell>
          <cell r="T145">
            <v>0</v>
          </cell>
          <cell r="U145">
            <v>0</v>
          </cell>
          <cell r="V145">
            <v>211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211</v>
          </cell>
          <cell r="AI145">
            <v>0</v>
          </cell>
          <cell r="AJ145">
            <v>0</v>
          </cell>
          <cell r="AK145">
            <v>0</v>
          </cell>
          <cell r="AL145">
            <v>91</v>
          </cell>
          <cell r="AM145">
            <v>0</v>
          </cell>
          <cell r="AN145">
            <v>0</v>
          </cell>
          <cell r="AO145">
            <v>0</v>
          </cell>
          <cell r="AP145">
            <v>125</v>
          </cell>
          <cell r="AQ145">
            <v>0</v>
          </cell>
          <cell r="AR145">
            <v>0</v>
          </cell>
          <cell r="AS145">
            <v>0</v>
          </cell>
          <cell r="AT145">
            <v>5000</v>
          </cell>
          <cell r="AV145" t="str">
            <v>Cambiar el safety stock en Mayo 2026</v>
          </cell>
          <cell r="AW145">
            <v>5100005155</v>
          </cell>
          <cell r="AX145" t="str">
            <v xml:space="preserve">FEDERAL-MOGUL POWERTRAIN- Qro </v>
          </cell>
          <cell r="AY145" t="str">
            <v xml:space="preserve">US </v>
          </cell>
          <cell r="AZ145">
            <v>9</v>
          </cell>
          <cell r="BB145" t="str">
            <v>AADTD</v>
          </cell>
          <cell r="BC145" t="str">
            <v>AADTD-06.08.2026-(21B3)-EPDC</v>
          </cell>
          <cell r="BE145">
            <v>5000</v>
          </cell>
          <cell r="BF145">
            <v>38.81818181818182</v>
          </cell>
          <cell r="BG145">
            <v>0.4501</v>
          </cell>
          <cell r="BH145">
            <v>5000</v>
          </cell>
          <cell r="BI145">
            <v>128.80562060889929</v>
          </cell>
          <cell r="BJ145">
            <v>2250.5</v>
          </cell>
          <cell r="BK145">
            <v>46953.833723653399</v>
          </cell>
          <cell r="BL145">
            <v>772.83372365339574</v>
          </cell>
          <cell r="BM145" t="str">
            <v>0</v>
          </cell>
          <cell r="BN145">
            <v>5000</v>
          </cell>
          <cell r="BO145">
            <v>5000</v>
          </cell>
          <cell r="BP145">
            <v>5000</v>
          </cell>
          <cell r="BQ145">
            <v>4789</v>
          </cell>
          <cell r="BR145">
            <v>4789</v>
          </cell>
          <cell r="BS145">
            <v>4789</v>
          </cell>
          <cell r="BT145">
            <v>4789</v>
          </cell>
          <cell r="BU145">
            <v>4789</v>
          </cell>
          <cell r="BV145">
            <v>4789</v>
          </cell>
          <cell r="BW145">
            <v>4789</v>
          </cell>
          <cell r="BX145" t="str">
            <v>FC1B4F2S2F01</v>
          </cell>
          <cell r="BY145" t="str">
            <v>EA</v>
          </cell>
        </row>
        <row r="146">
          <cell r="C146" t="str">
            <v>FC1Z0F2SBC03</v>
          </cell>
          <cell r="D146">
            <v>100</v>
          </cell>
          <cell r="E146" t="str">
            <v>HOSE-A/C FORMED-BARRIER GALAXY 13/32" 48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55</v>
          </cell>
          <cell r="O146">
            <v>0</v>
          </cell>
          <cell r="P146">
            <v>4485</v>
          </cell>
          <cell r="Q146">
            <v>0</v>
          </cell>
          <cell r="R146">
            <v>4330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3</v>
          </cell>
          <cell r="AO146">
            <v>3</v>
          </cell>
          <cell r="AP146">
            <v>3</v>
          </cell>
          <cell r="AQ146">
            <v>26</v>
          </cell>
          <cell r="AR146">
            <v>6</v>
          </cell>
          <cell r="AS146">
            <v>4</v>
          </cell>
          <cell r="AT146">
            <v>4330</v>
          </cell>
          <cell r="AW146">
            <v>5100001667</v>
          </cell>
          <cell r="AX146" t="str">
            <v>CONTITECH NORTH AMERICA,</v>
          </cell>
          <cell r="AY146" t="str">
            <v xml:space="preserve">US </v>
          </cell>
          <cell r="AZ146" t="e">
            <v>#N/A</v>
          </cell>
          <cell r="BB146" t="str">
            <v>AADTD</v>
          </cell>
          <cell r="BC146" t="str">
            <v>AADTD-06.08.2026-(21B3)-EPDC</v>
          </cell>
          <cell r="BE146">
            <v>0</v>
          </cell>
          <cell r="BF146">
            <v>3.7272727272727271</v>
          </cell>
          <cell r="BG146">
            <v>2.5619999999999998</v>
          </cell>
          <cell r="BH146">
            <v>4330</v>
          </cell>
          <cell r="BI146">
            <v>1161.7073170731708</v>
          </cell>
          <cell r="BJ146">
            <v>11093.46</v>
          </cell>
          <cell r="BK146">
            <v>53151.243902439026</v>
          </cell>
          <cell r="BL146">
            <v>6970.2439024390242</v>
          </cell>
          <cell r="BM146" t="str">
            <v>0</v>
          </cell>
          <cell r="BN146">
            <v>4330</v>
          </cell>
          <cell r="BO146">
            <v>4330</v>
          </cell>
          <cell r="BP146">
            <v>4330</v>
          </cell>
          <cell r="BQ146">
            <v>4330</v>
          </cell>
          <cell r="BR146">
            <v>4330</v>
          </cell>
          <cell r="BS146">
            <v>4330</v>
          </cell>
          <cell r="BT146">
            <v>4330</v>
          </cell>
          <cell r="BU146">
            <v>4330</v>
          </cell>
          <cell r="BV146">
            <v>4330</v>
          </cell>
          <cell r="BW146">
            <v>4330</v>
          </cell>
          <cell r="BY146" t="str">
            <v>EA</v>
          </cell>
        </row>
        <row r="147">
          <cell r="C147" t="str">
            <v>1W1H-19E889-HAS100</v>
          </cell>
          <cell r="D147">
            <v>20000</v>
          </cell>
          <cell r="E147" t="str">
            <v>3/8in O'RING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2507</v>
          </cell>
          <cell r="N147">
            <v>37493</v>
          </cell>
          <cell r="O147">
            <v>0</v>
          </cell>
          <cell r="P147">
            <v>41507</v>
          </cell>
          <cell r="Q147">
            <v>0</v>
          </cell>
          <cell r="R147">
            <v>39000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216</v>
          </cell>
          <cell r="AE147">
            <v>216</v>
          </cell>
          <cell r="AF147">
            <v>0</v>
          </cell>
          <cell r="AG147">
            <v>0</v>
          </cell>
          <cell r="AH147">
            <v>0</v>
          </cell>
          <cell r="AI147">
            <v>432</v>
          </cell>
          <cell r="AJ147">
            <v>220</v>
          </cell>
          <cell r="AK147">
            <v>216</v>
          </cell>
          <cell r="AL147">
            <v>351</v>
          </cell>
          <cell r="AM147">
            <v>216</v>
          </cell>
          <cell r="AN147">
            <v>216</v>
          </cell>
          <cell r="AO147">
            <v>513</v>
          </cell>
          <cell r="AP147">
            <v>241</v>
          </cell>
          <cell r="AQ147">
            <v>432</v>
          </cell>
          <cell r="AR147">
            <v>432</v>
          </cell>
          <cell r="AS147">
            <v>433</v>
          </cell>
          <cell r="AT147">
            <v>38568</v>
          </cell>
          <cell r="AW147">
            <v>5100001749</v>
          </cell>
          <cell r="AX147" t="str">
            <v>TRELLEBORG SEALING SOLUT</v>
          </cell>
          <cell r="AY147" t="str">
            <v xml:space="preserve">US </v>
          </cell>
          <cell r="AZ147">
            <v>9</v>
          </cell>
          <cell r="BB147" t="str">
            <v>AADTD</v>
          </cell>
          <cell r="BC147" t="str">
            <v>AADTD-06.08.2026-(21B3)-EPDC</v>
          </cell>
          <cell r="BE147">
            <v>40000</v>
          </cell>
          <cell r="BF147">
            <v>297.18181818181819</v>
          </cell>
          <cell r="BG147">
            <v>2.52E-2</v>
          </cell>
          <cell r="BH147">
            <v>39000</v>
          </cell>
          <cell r="BI147">
            <v>131.23279290302844</v>
          </cell>
          <cell r="BJ147">
            <v>982.8</v>
          </cell>
          <cell r="BK147">
            <v>46968.396757418173</v>
          </cell>
          <cell r="BL147">
            <v>787.39675741817064</v>
          </cell>
          <cell r="BM147" t="str">
            <v>0</v>
          </cell>
          <cell r="BN147">
            <v>39000</v>
          </cell>
          <cell r="BO147">
            <v>39000</v>
          </cell>
          <cell r="BP147">
            <v>39000</v>
          </cell>
          <cell r="BQ147">
            <v>39000</v>
          </cell>
          <cell r="BR147">
            <v>39000</v>
          </cell>
          <cell r="BS147">
            <v>39000</v>
          </cell>
          <cell r="BT147">
            <v>39000</v>
          </cell>
          <cell r="BU147">
            <v>39000</v>
          </cell>
          <cell r="BV147">
            <v>39000</v>
          </cell>
          <cell r="BW147">
            <v>38784</v>
          </cell>
          <cell r="BY147" t="str">
            <v>EA</v>
          </cell>
        </row>
        <row r="148">
          <cell r="C148" t="str">
            <v>FC2G0F2SBF01</v>
          </cell>
          <cell r="D148">
            <v>5000</v>
          </cell>
          <cell r="E148" t="str">
            <v>LABEL-A/C Label - A/C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12545</v>
          </cell>
          <cell r="N148">
            <v>17455</v>
          </cell>
          <cell r="O148">
            <v>0</v>
          </cell>
          <cell r="P148">
            <v>142545</v>
          </cell>
          <cell r="Q148">
            <v>0</v>
          </cell>
          <cell r="R148">
            <v>130000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216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357</v>
          </cell>
          <cell r="AC148">
            <v>0</v>
          </cell>
          <cell r="AD148">
            <v>360</v>
          </cell>
          <cell r="AE148">
            <v>0</v>
          </cell>
          <cell r="AF148">
            <v>0</v>
          </cell>
          <cell r="AG148">
            <v>0</v>
          </cell>
          <cell r="AH148">
            <v>216</v>
          </cell>
          <cell r="AI148">
            <v>717</v>
          </cell>
          <cell r="AJ148">
            <v>792</v>
          </cell>
          <cell r="AK148">
            <v>792</v>
          </cell>
          <cell r="AL148">
            <v>900</v>
          </cell>
          <cell r="AM148">
            <v>1140</v>
          </cell>
          <cell r="AN148">
            <v>780</v>
          </cell>
          <cell r="AO148">
            <v>1032</v>
          </cell>
          <cell r="AP148">
            <v>1008</v>
          </cell>
          <cell r="AQ148">
            <v>816</v>
          </cell>
          <cell r="AR148">
            <v>0</v>
          </cell>
          <cell r="AS148">
            <v>1380</v>
          </cell>
          <cell r="AT148">
            <v>129283</v>
          </cell>
          <cell r="AW148">
            <v>5100001743</v>
          </cell>
          <cell r="AX148" t="str">
            <v>GENERAL LABELS AND PRINT</v>
          </cell>
          <cell r="AY148" t="str">
            <v xml:space="preserve">US </v>
          </cell>
          <cell r="AZ148">
            <v>9</v>
          </cell>
          <cell r="BB148" t="str">
            <v>AADTD</v>
          </cell>
          <cell r="BC148" t="str">
            <v>AADTD-06.08.2026-(21B3)-EPDC</v>
          </cell>
          <cell r="BE148">
            <v>30000</v>
          </cell>
          <cell r="BF148">
            <v>744.81818181818187</v>
          </cell>
          <cell r="BG148">
            <v>5.7579999999999999E-2</v>
          </cell>
          <cell r="BH148">
            <v>130000</v>
          </cell>
          <cell r="BI148">
            <v>174.53924081533015</v>
          </cell>
          <cell r="BJ148">
            <v>7485.4</v>
          </cell>
          <cell r="BK148">
            <v>47228.23544489198</v>
          </cell>
          <cell r="BL148">
            <v>1047.2354448919809</v>
          </cell>
          <cell r="BM148" t="str">
            <v>0</v>
          </cell>
          <cell r="BN148">
            <v>130000</v>
          </cell>
          <cell r="BO148">
            <v>130000</v>
          </cell>
          <cell r="BP148">
            <v>130000</v>
          </cell>
          <cell r="BQ148">
            <v>130000</v>
          </cell>
          <cell r="BR148">
            <v>129784</v>
          </cell>
          <cell r="BS148">
            <v>129784</v>
          </cell>
          <cell r="BT148">
            <v>129784</v>
          </cell>
          <cell r="BU148">
            <v>129427</v>
          </cell>
          <cell r="BV148">
            <v>129427</v>
          </cell>
          <cell r="BW148">
            <v>129067</v>
          </cell>
          <cell r="BY148" t="str">
            <v>EA</v>
          </cell>
        </row>
        <row r="149">
          <cell r="C149" t="str">
            <v>FC1B4F2S2H01</v>
          </cell>
          <cell r="D149">
            <v>75</v>
          </cell>
          <cell r="E149" t="str">
            <v>SLV HT ALU SELF WRAP SLV HT ALU SELF WRA</v>
          </cell>
          <cell r="F149">
            <v>150</v>
          </cell>
          <cell r="G149">
            <v>550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36</v>
          </cell>
          <cell r="O149">
            <v>0</v>
          </cell>
          <cell r="P149">
            <v>1271</v>
          </cell>
          <cell r="Q149">
            <v>0</v>
          </cell>
          <cell r="R149">
            <v>535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2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535</v>
          </cell>
          <cell r="AW149">
            <v>5100001667</v>
          </cell>
          <cell r="AX149" t="str">
            <v>FEDERAL-MOGUL POWERTRAIN</v>
          </cell>
          <cell r="AY149" t="str">
            <v xml:space="preserve">US </v>
          </cell>
          <cell r="AZ149" t="e">
            <v>#N/A</v>
          </cell>
          <cell r="BB149" t="str">
            <v>AADTD</v>
          </cell>
          <cell r="BC149" t="str">
            <v>AADTD-06.08.2026-(21B3)-JHUB</v>
          </cell>
          <cell r="BE149">
            <v>0</v>
          </cell>
          <cell r="BF149">
            <v>0.18181818181818182</v>
          </cell>
          <cell r="BG149">
            <v>1.5520999999999998</v>
          </cell>
          <cell r="BH149">
            <v>1235</v>
          </cell>
          <cell r="BI149">
            <v>6792.5</v>
          </cell>
          <cell r="BJ149">
            <v>1916.8434999999997</v>
          </cell>
          <cell r="BK149">
            <v>86936</v>
          </cell>
          <cell r="BL149">
            <v>40755</v>
          </cell>
          <cell r="BM149" t="str">
            <v>0</v>
          </cell>
          <cell r="BN149">
            <v>535</v>
          </cell>
          <cell r="BO149">
            <v>535</v>
          </cell>
          <cell r="BP149">
            <v>535</v>
          </cell>
          <cell r="BQ149">
            <v>535</v>
          </cell>
          <cell r="BR149">
            <v>535</v>
          </cell>
          <cell r="BS149">
            <v>535</v>
          </cell>
          <cell r="BT149">
            <v>535</v>
          </cell>
          <cell r="BU149">
            <v>535</v>
          </cell>
          <cell r="BV149">
            <v>535</v>
          </cell>
          <cell r="BW149">
            <v>535</v>
          </cell>
          <cell r="BY149" t="str">
            <v>EA</v>
          </cell>
        </row>
        <row r="150">
          <cell r="C150" t="str">
            <v>6L2H-19E889-ABS300</v>
          </cell>
          <cell r="D150">
            <v>5000</v>
          </cell>
          <cell r="E150" t="str">
            <v>O-RING FLUID TRANSPORT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9619</v>
          </cell>
          <cell r="N150">
            <v>40381</v>
          </cell>
          <cell r="O150">
            <v>0</v>
          </cell>
          <cell r="P150">
            <v>322316</v>
          </cell>
          <cell r="Q150">
            <v>0</v>
          </cell>
          <cell r="R150">
            <v>309697</v>
          </cell>
          <cell r="S150">
            <v>334</v>
          </cell>
          <cell r="T150">
            <v>0</v>
          </cell>
          <cell r="U150">
            <v>858</v>
          </cell>
          <cell r="V150">
            <v>780</v>
          </cell>
          <cell r="W150">
            <v>0</v>
          </cell>
          <cell r="X150">
            <v>126</v>
          </cell>
          <cell r="Y150">
            <v>0</v>
          </cell>
          <cell r="Z150">
            <v>0</v>
          </cell>
          <cell r="AA150">
            <v>0</v>
          </cell>
          <cell r="AB150">
            <v>1014</v>
          </cell>
          <cell r="AC150">
            <v>178</v>
          </cell>
          <cell r="AD150">
            <v>870</v>
          </cell>
          <cell r="AE150">
            <v>126</v>
          </cell>
          <cell r="AF150">
            <v>0</v>
          </cell>
          <cell r="AG150">
            <v>0</v>
          </cell>
          <cell r="AH150">
            <v>1764</v>
          </cell>
          <cell r="AI150">
            <v>2188</v>
          </cell>
          <cell r="AJ150">
            <v>1302</v>
          </cell>
          <cell r="AK150">
            <v>2072</v>
          </cell>
          <cell r="AL150">
            <v>1700</v>
          </cell>
          <cell r="AM150">
            <v>1302</v>
          </cell>
          <cell r="AN150">
            <v>1898</v>
          </cell>
          <cell r="AO150">
            <v>2084</v>
          </cell>
          <cell r="AP150">
            <v>1601</v>
          </cell>
          <cell r="AQ150">
            <v>1474</v>
          </cell>
          <cell r="AR150">
            <v>1558</v>
          </cell>
          <cell r="AS150">
            <v>1284</v>
          </cell>
          <cell r="AT150">
            <v>307509</v>
          </cell>
          <cell r="AW150">
            <v>5100001749</v>
          </cell>
          <cell r="AX150" t="str">
            <v>TRELLEBORG SEALING SOLUT</v>
          </cell>
          <cell r="AY150" t="str">
            <v xml:space="preserve">US </v>
          </cell>
          <cell r="AZ150">
            <v>9</v>
          </cell>
          <cell r="BB150" t="str">
            <v>AADTD</v>
          </cell>
          <cell r="BC150" t="str">
            <v>AADTD-06.08.2026-(21B3)-EPDC</v>
          </cell>
          <cell r="BE150">
            <v>50000</v>
          </cell>
          <cell r="BF150">
            <v>1722.090909090909</v>
          </cell>
          <cell r="BG150">
            <v>8.6099999999999996E-2</v>
          </cell>
          <cell r="BH150">
            <v>309697</v>
          </cell>
          <cell r="BI150">
            <v>179.83777648735682</v>
          </cell>
          <cell r="BJ150">
            <v>26664.911700000001</v>
          </cell>
          <cell r="BK150">
            <v>47260.026658924144</v>
          </cell>
          <cell r="BL150">
            <v>1079.026658924141</v>
          </cell>
          <cell r="BM150" t="str">
            <v>0</v>
          </cell>
          <cell r="BN150">
            <v>309697</v>
          </cell>
          <cell r="BO150">
            <v>309697</v>
          </cell>
          <cell r="BP150">
            <v>308839</v>
          </cell>
          <cell r="BQ150">
            <v>308059</v>
          </cell>
          <cell r="BR150">
            <v>308059</v>
          </cell>
          <cell r="BS150">
            <v>307933</v>
          </cell>
          <cell r="BT150">
            <v>307933</v>
          </cell>
          <cell r="BU150">
            <v>306919</v>
          </cell>
          <cell r="BV150">
            <v>306741</v>
          </cell>
          <cell r="BW150">
            <v>305871</v>
          </cell>
          <cell r="BX150" t="str">
            <v>6L2H-19E889-ABS300</v>
          </cell>
          <cell r="BY150" t="str">
            <v>EA</v>
          </cell>
        </row>
        <row r="151">
          <cell r="C151" t="str">
            <v>VPGR3H-048B60-BA</v>
          </cell>
          <cell r="D151">
            <v>5000</v>
          </cell>
          <cell r="E151" t="str">
            <v>Label - A/C 3M 7871 White Thermal Po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13145</v>
          </cell>
          <cell r="N151">
            <v>6855</v>
          </cell>
          <cell r="O151">
            <v>0</v>
          </cell>
          <cell r="P151">
            <v>86645</v>
          </cell>
          <cell r="Q151">
            <v>0</v>
          </cell>
          <cell r="R151">
            <v>73500</v>
          </cell>
          <cell r="S151">
            <v>27</v>
          </cell>
          <cell r="T151">
            <v>0</v>
          </cell>
          <cell r="U151">
            <v>0</v>
          </cell>
          <cell r="V151">
            <v>19</v>
          </cell>
          <cell r="W151">
            <v>0</v>
          </cell>
          <cell r="X151">
            <v>8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401</v>
          </cell>
          <cell r="AD151">
            <v>90</v>
          </cell>
          <cell r="AE151">
            <v>8</v>
          </cell>
          <cell r="AF151">
            <v>0</v>
          </cell>
          <cell r="AG151">
            <v>0</v>
          </cell>
          <cell r="AH151">
            <v>27</v>
          </cell>
          <cell r="AI151">
            <v>499</v>
          </cell>
          <cell r="AJ151">
            <v>69</v>
          </cell>
          <cell r="AK151">
            <v>387</v>
          </cell>
          <cell r="AL151">
            <v>612</v>
          </cell>
          <cell r="AM151">
            <v>423</v>
          </cell>
          <cell r="AN151">
            <v>338</v>
          </cell>
          <cell r="AO151">
            <v>296</v>
          </cell>
          <cell r="AP151">
            <v>423</v>
          </cell>
          <cell r="AQ151">
            <v>414</v>
          </cell>
          <cell r="AR151">
            <v>462</v>
          </cell>
          <cell r="AS151">
            <v>529</v>
          </cell>
          <cell r="AT151">
            <v>73001</v>
          </cell>
          <cell r="AW151">
            <v>5100001743</v>
          </cell>
          <cell r="AX151" t="str">
            <v>GENERAL LABELS AND PRINT</v>
          </cell>
          <cell r="AY151" t="str">
            <v xml:space="preserve">US </v>
          </cell>
          <cell r="AZ151">
            <v>9</v>
          </cell>
          <cell r="BB151" t="str">
            <v>AADTD</v>
          </cell>
          <cell r="BC151" t="str">
            <v>AADTD-06.08.2026-(21B3)-EPDC</v>
          </cell>
          <cell r="BE151">
            <v>20000</v>
          </cell>
          <cell r="BF151">
            <v>359.09090909090907</v>
          </cell>
          <cell r="BG151">
            <v>4.5010000000000001E-2</v>
          </cell>
          <cell r="BH151">
            <v>73500</v>
          </cell>
          <cell r="BI151">
            <v>204.68354430379748</v>
          </cell>
          <cell r="BJ151">
            <v>3308.2350000000001</v>
          </cell>
          <cell r="BK151">
            <v>47409.101265822785</v>
          </cell>
          <cell r="BL151">
            <v>1228.1012658227849</v>
          </cell>
          <cell r="BM151" t="str">
            <v>0</v>
          </cell>
          <cell r="BN151">
            <v>73500</v>
          </cell>
          <cell r="BO151">
            <v>73500</v>
          </cell>
          <cell r="BP151">
            <v>73500</v>
          </cell>
          <cell r="BQ151">
            <v>73481</v>
          </cell>
          <cell r="BR151">
            <v>73481</v>
          </cell>
          <cell r="BS151">
            <v>73473</v>
          </cell>
          <cell r="BT151">
            <v>73473</v>
          </cell>
          <cell r="BU151">
            <v>73473</v>
          </cell>
          <cell r="BV151">
            <v>73072</v>
          </cell>
          <cell r="BW151">
            <v>72982</v>
          </cell>
          <cell r="BY151" t="str">
            <v>EA</v>
          </cell>
        </row>
        <row r="152">
          <cell r="C152" t="str">
            <v>FC1A5F2S1N01</v>
          </cell>
          <cell r="D152">
            <v>4000</v>
          </cell>
          <cell r="E152" t="str">
            <v>SLV ABRAS BRD TWIST TUBE</v>
          </cell>
          <cell r="F152">
            <v>0</v>
          </cell>
          <cell r="G152">
            <v>0</v>
          </cell>
          <cell r="I152">
            <v>0</v>
          </cell>
          <cell r="M152">
            <v>50</v>
          </cell>
          <cell r="N152">
            <v>3950</v>
          </cell>
          <cell r="O152">
            <v>0</v>
          </cell>
          <cell r="Q152">
            <v>0</v>
          </cell>
          <cell r="R152">
            <v>2830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75</v>
          </cell>
          <cell r="AN152">
            <v>0</v>
          </cell>
          <cell r="AO152">
            <v>0</v>
          </cell>
          <cell r="AP152">
            <v>0</v>
          </cell>
          <cell r="AQ152">
            <v>32</v>
          </cell>
          <cell r="AR152">
            <v>32</v>
          </cell>
          <cell r="AS152">
            <v>32</v>
          </cell>
          <cell r="AT152">
            <v>2830</v>
          </cell>
          <cell r="AV152" t="str">
            <v>Servicos</v>
          </cell>
          <cell r="AW152">
            <v>5100001898</v>
          </cell>
          <cell r="AX152" t="str">
            <v xml:space="preserve">FEDERAL-MOGUL POWERTRAIN- Qro </v>
          </cell>
          <cell r="AY152" t="str">
            <v xml:space="preserve">US </v>
          </cell>
          <cell r="AZ152">
            <v>9</v>
          </cell>
          <cell r="BB152" t="str">
            <v>AADTD</v>
          </cell>
          <cell r="BC152" t="str">
            <v>AADTD-06.08.2026-(21B3)-EPDC</v>
          </cell>
          <cell r="BD152">
            <v>6100</v>
          </cell>
          <cell r="BE152">
            <v>4000</v>
          </cell>
          <cell r="BF152">
            <v>12.636363636363637</v>
          </cell>
          <cell r="BG152">
            <v>9.0799999999999992E-2</v>
          </cell>
          <cell r="BH152">
            <v>2830</v>
          </cell>
          <cell r="BI152">
            <v>223.9568345323741</v>
          </cell>
          <cell r="BJ152">
            <v>256.964</v>
          </cell>
          <cell r="BK152">
            <v>47524.741007194243</v>
          </cell>
          <cell r="BL152">
            <v>1343.7410071942445</v>
          </cell>
          <cell r="BM152" t="str">
            <v>0</v>
          </cell>
          <cell r="BN152">
            <v>2830</v>
          </cell>
          <cell r="BO152">
            <v>2830</v>
          </cell>
          <cell r="BP152">
            <v>2830</v>
          </cell>
          <cell r="BQ152">
            <v>2830</v>
          </cell>
          <cell r="BR152">
            <v>2830</v>
          </cell>
          <cell r="BS152">
            <v>2830</v>
          </cell>
          <cell r="BT152">
            <v>2830</v>
          </cell>
          <cell r="BU152">
            <v>2830</v>
          </cell>
          <cell r="BV152">
            <v>2830</v>
          </cell>
          <cell r="BW152">
            <v>2830</v>
          </cell>
          <cell r="BX152" t="str">
            <v>FC1A5F2S1N01</v>
          </cell>
          <cell r="BY152" t="str">
            <v>EA</v>
          </cell>
        </row>
        <row r="153">
          <cell r="C153" t="str">
            <v>VP9L3H-19E778-DA</v>
          </cell>
          <cell r="D153">
            <v>1000</v>
          </cell>
          <cell r="E153" t="str">
            <v>SHIPPING CAP (BULK)</v>
          </cell>
          <cell r="F153">
            <v>0</v>
          </cell>
          <cell r="G153">
            <v>8000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-18</v>
          </cell>
          <cell r="O153">
            <v>0</v>
          </cell>
          <cell r="P153">
            <v>8306</v>
          </cell>
          <cell r="Q153">
            <v>0</v>
          </cell>
          <cell r="R153">
            <v>1649</v>
          </cell>
          <cell r="S153">
            <v>226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82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82</v>
          </cell>
          <cell r="AF153">
            <v>0</v>
          </cell>
          <cell r="AG153">
            <v>0</v>
          </cell>
          <cell r="AH153">
            <v>82</v>
          </cell>
          <cell r="AI153">
            <v>82</v>
          </cell>
          <cell r="AJ153">
            <v>3</v>
          </cell>
          <cell r="AK153">
            <v>9</v>
          </cell>
          <cell r="AL153">
            <v>142</v>
          </cell>
          <cell r="AM153">
            <v>0</v>
          </cell>
          <cell r="AN153">
            <v>0</v>
          </cell>
          <cell r="AO153">
            <v>5</v>
          </cell>
          <cell r="AP153">
            <v>497</v>
          </cell>
          <cell r="AQ153">
            <v>82</v>
          </cell>
          <cell r="AR153">
            <v>15</v>
          </cell>
          <cell r="AS153">
            <v>0</v>
          </cell>
          <cell r="AT153">
            <v>1567</v>
          </cell>
          <cell r="AW153">
            <v>5100001718</v>
          </cell>
          <cell r="AX153" t="str">
            <v>POLYMER MOLDING INC</v>
          </cell>
          <cell r="AY153" t="str">
            <v xml:space="preserve">MX </v>
          </cell>
          <cell r="AZ153" t="e">
            <v>#N/A</v>
          </cell>
          <cell r="BB153" t="str">
            <v>AADTD</v>
          </cell>
          <cell r="BC153" t="str">
            <v>AADTD-06.08.2026-(21B3)-JHUB</v>
          </cell>
          <cell r="BE153">
            <v>0</v>
          </cell>
          <cell r="BF153">
            <v>83.36363636363636</v>
          </cell>
          <cell r="BG153">
            <v>3.0199999999999998E-2</v>
          </cell>
          <cell r="BH153">
            <v>9649</v>
          </cell>
          <cell r="BI153">
            <v>115.74591057797166</v>
          </cell>
          <cell r="BJ153">
            <v>291.39979999999997</v>
          </cell>
          <cell r="BK153">
            <v>46875.475463467832</v>
          </cell>
          <cell r="BL153">
            <v>694.47546346782997</v>
          </cell>
          <cell r="BM153" t="str">
            <v>0</v>
          </cell>
          <cell r="BN153">
            <v>1649</v>
          </cell>
          <cell r="BO153">
            <v>1649</v>
          </cell>
          <cell r="BP153">
            <v>1649</v>
          </cell>
          <cell r="BQ153">
            <v>1649</v>
          </cell>
          <cell r="BR153">
            <v>1649</v>
          </cell>
          <cell r="BS153">
            <v>1567</v>
          </cell>
          <cell r="BT153">
            <v>1567</v>
          </cell>
          <cell r="BU153">
            <v>1567</v>
          </cell>
          <cell r="BV153">
            <v>1567</v>
          </cell>
          <cell r="BW153">
            <v>1567</v>
          </cell>
          <cell r="BY153" t="str">
            <v>EA</v>
          </cell>
        </row>
        <row r="154">
          <cell r="C154" t="str">
            <v>VPDS7H-19D702-AA</v>
          </cell>
          <cell r="D154">
            <v>3000</v>
          </cell>
          <cell r="E154" t="str">
            <v>CAP ASY-A/C C/VALVE M10 High Side Valve</v>
          </cell>
          <cell r="F154">
            <v>0</v>
          </cell>
          <cell r="G154">
            <v>27000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1945</v>
          </cell>
          <cell r="N154">
            <v>-1945</v>
          </cell>
          <cell r="O154">
            <v>0</v>
          </cell>
          <cell r="P154">
            <v>34645</v>
          </cell>
          <cell r="Q154">
            <v>0</v>
          </cell>
          <cell r="R154">
            <v>5600</v>
          </cell>
          <cell r="S154">
            <v>0</v>
          </cell>
          <cell r="T154">
            <v>150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150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150</v>
          </cell>
          <cell r="AI154">
            <v>150</v>
          </cell>
          <cell r="AJ154">
            <v>141</v>
          </cell>
          <cell r="AK154">
            <v>9</v>
          </cell>
          <cell r="AL154">
            <v>0</v>
          </cell>
          <cell r="AM154">
            <v>50</v>
          </cell>
          <cell r="AN154">
            <v>103</v>
          </cell>
          <cell r="AO154">
            <v>103</v>
          </cell>
          <cell r="AP154">
            <v>153</v>
          </cell>
          <cell r="AQ154">
            <v>176</v>
          </cell>
          <cell r="AR154">
            <v>156</v>
          </cell>
          <cell r="AS154">
            <v>254</v>
          </cell>
          <cell r="AT154">
            <v>5450</v>
          </cell>
          <cell r="AV154" t="str">
            <v>Servicios P702 BEV MCA</v>
          </cell>
          <cell r="AW154">
            <v>5100001703</v>
          </cell>
          <cell r="AX154" t="str">
            <v>VPI AQUISITION LLC DBA V</v>
          </cell>
          <cell r="AY154" t="str">
            <v xml:space="preserve">US </v>
          </cell>
          <cell r="AZ154">
            <v>9</v>
          </cell>
          <cell r="BB154" t="str">
            <v>AADTD</v>
          </cell>
          <cell r="BC154" t="str">
            <v>AADTD-06.08.2026-(21B3)-JHUB</v>
          </cell>
          <cell r="BE154">
            <v>0</v>
          </cell>
          <cell r="BF154">
            <v>108.27272727272727</v>
          </cell>
          <cell r="BG154">
            <v>0.15530000000000002</v>
          </cell>
          <cell r="BH154">
            <v>32600</v>
          </cell>
          <cell r="BI154">
            <v>301.09151973131821</v>
          </cell>
          <cell r="BJ154">
            <v>5062.7800000000007</v>
          </cell>
          <cell r="BK154">
            <v>47987.549118387906</v>
          </cell>
          <cell r="BL154">
            <v>1806.5491183879094</v>
          </cell>
          <cell r="BM154" t="str">
            <v>0</v>
          </cell>
          <cell r="BN154">
            <v>5600</v>
          </cell>
          <cell r="BO154">
            <v>5450</v>
          </cell>
          <cell r="BP154">
            <v>5450</v>
          </cell>
          <cell r="BQ154">
            <v>5450</v>
          </cell>
          <cell r="BR154">
            <v>5450</v>
          </cell>
          <cell r="BS154">
            <v>5450</v>
          </cell>
          <cell r="BT154">
            <v>5300</v>
          </cell>
          <cell r="BU154">
            <v>5300</v>
          </cell>
          <cell r="BV154">
            <v>5300</v>
          </cell>
          <cell r="BW154">
            <v>5300</v>
          </cell>
          <cell r="BY154" t="str">
            <v>EA</v>
          </cell>
        </row>
        <row r="155">
          <cell r="C155" t="str">
            <v>FC1Z0F2STA02</v>
          </cell>
          <cell r="D155">
            <v>100</v>
          </cell>
          <cell r="E155" t="str">
            <v>HOSE-A/C FORMED-BARRIER GALAXY 13/32" 48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71</v>
          </cell>
          <cell r="O155">
            <v>0</v>
          </cell>
          <cell r="P155">
            <v>6615</v>
          </cell>
          <cell r="Q155">
            <v>0</v>
          </cell>
          <cell r="R155">
            <v>6544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2</v>
          </cell>
          <cell r="AO155">
            <v>6</v>
          </cell>
          <cell r="AP155">
            <v>11</v>
          </cell>
          <cell r="AQ155">
            <v>81</v>
          </cell>
          <cell r="AR155">
            <v>5</v>
          </cell>
          <cell r="AS155">
            <v>14</v>
          </cell>
          <cell r="AT155">
            <v>6544</v>
          </cell>
          <cell r="AW155">
            <v>5100001667</v>
          </cell>
          <cell r="AX155" t="str">
            <v>CONTITECH NORTH AMERICA,</v>
          </cell>
          <cell r="AY155" t="str">
            <v xml:space="preserve">US </v>
          </cell>
          <cell r="AZ155" t="e">
            <v>#N/A</v>
          </cell>
          <cell r="BB155" t="str">
            <v>AADTD</v>
          </cell>
          <cell r="BC155" t="str">
            <v>AADTD-06.08.2026-(21B3)-EPDC</v>
          </cell>
          <cell r="BE155">
            <v>0</v>
          </cell>
          <cell r="BF155">
            <v>9.545454545454545</v>
          </cell>
          <cell r="BG155">
            <v>2.972</v>
          </cell>
          <cell r="BH155">
            <v>6544</v>
          </cell>
          <cell r="BI155">
            <v>685.56190476190477</v>
          </cell>
          <cell r="BJ155">
            <v>19448.768</v>
          </cell>
          <cell r="BK155">
            <v>50294.37142857143</v>
          </cell>
          <cell r="BL155">
            <v>4113.3714285714286</v>
          </cell>
          <cell r="BM155" t="str">
            <v>0</v>
          </cell>
          <cell r="BN155">
            <v>6544</v>
          </cell>
          <cell r="BO155">
            <v>6544</v>
          </cell>
          <cell r="BP155">
            <v>6544</v>
          </cell>
          <cell r="BQ155">
            <v>6544</v>
          </cell>
          <cell r="BR155">
            <v>6544</v>
          </cell>
          <cell r="BS155">
            <v>6544</v>
          </cell>
          <cell r="BT155">
            <v>6544</v>
          </cell>
          <cell r="BU155">
            <v>6544</v>
          </cell>
          <cell r="BV155">
            <v>6544</v>
          </cell>
          <cell r="BW155">
            <v>6544</v>
          </cell>
          <cell r="BY155" t="str">
            <v>EA</v>
          </cell>
        </row>
        <row r="156">
          <cell r="C156" t="str">
            <v>FC1C0F2S8L01</v>
          </cell>
          <cell r="D156">
            <v>25000</v>
          </cell>
          <cell r="E156" t="str">
            <v>SLV NVH RUBBER NON SLT EPDM Rubber Sleev</v>
          </cell>
          <cell r="F156">
            <v>0</v>
          </cell>
          <cell r="G156">
            <v>60000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392</v>
          </cell>
          <cell r="N156">
            <v>-392</v>
          </cell>
          <cell r="O156">
            <v>0</v>
          </cell>
          <cell r="P156">
            <v>60892</v>
          </cell>
          <cell r="Q156">
            <v>0</v>
          </cell>
          <cell r="R156">
            <v>500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96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96</v>
          </cell>
          <cell r="AJ156">
            <v>288</v>
          </cell>
          <cell r="AK156">
            <v>192</v>
          </cell>
          <cell r="AL156">
            <v>216</v>
          </cell>
          <cell r="AM156">
            <v>288</v>
          </cell>
          <cell r="AN156">
            <v>96</v>
          </cell>
          <cell r="AO156">
            <v>96</v>
          </cell>
          <cell r="AP156">
            <v>192</v>
          </cell>
          <cell r="AQ156">
            <v>192</v>
          </cell>
          <cell r="AR156">
            <v>96</v>
          </cell>
          <cell r="AS156">
            <v>96</v>
          </cell>
          <cell r="AT156">
            <v>404</v>
          </cell>
          <cell r="AW156">
            <v>5100001908</v>
          </cell>
          <cell r="AX156" t="str">
            <v>COOPER-STANDARD INDUSTRI</v>
          </cell>
          <cell r="AY156" t="str">
            <v xml:space="preserve">US </v>
          </cell>
          <cell r="AZ156">
            <v>9</v>
          </cell>
          <cell r="BB156" t="str">
            <v>AADTD</v>
          </cell>
          <cell r="BC156" t="str">
            <v>AADTD-06.08.2026-(21B3)-JHUB</v>
          </cell>
          <cell r="BE156">
            <v>0</v>
          </cell>
          <cell r="BF156">
            <v>159.27272727272728</v>
          </cell>
          <cell r="BG156">
            <v>4.4600000000000001E-2</v>
          </cell>
          <cell r="BH156">
            <v>60500</v>
          </cell>
          <cell r="BI156">
            <v>379.85159817351598</v>
          </cell>
          <cell r="BJ156">
            <v>2698.3</v>
          </cell>
          <cell r="BK156">
            <v>48460.109589041094</v>
          </cell>
          <cell r="BL156">
            <v>2279.1095890410961</v>
          </cell>
          <cell r="BM156" t="str">
            <v>0</v>
          </cell>
          <cell r="BN156">
            <v>500</v>
          </cell>
          <cell r="BO156">
            <v>500</v>
          </cell>
          <cell r="BP156">
            <v>500</v>
          </cell>
          <cell r="BQ156">
            <v>500</v>
          </cell>
          <cell r="BR156">
            <v>500</v>
          </cell>
          <cell r="BS156">
            <v>500</v>
          </cell>
          <cell r="BT156">
            <v>500</v>
          </cell>
          <cell r="BU156">
            <v>500</v>
          </cell>
          <cell r="BV156">
            <v>404</v>
          </cell>
          <cell r="BW156">
            <v>404</v>
          </cell>
          <cell r="BY156" t="str">
            <v>EA</v>
          </cell>
        </row>
        <row r="157">
          <cell r="C157" t="str">
            <v>VP6XPH-19F552-E1A</v>
          </cell>
          <cell r="D157">
            <v>1</v>
          </cell>
          <cell r="E157" t="str">
            <v>HOSE A/C REFRING</v>
          </cell>
          <cell r="F157">
            <v>0</v>
          </cell>
          <cell r="G157">
            <v>547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10.378</v>
          </cell>
          <cell r="O157">
            <v>0</v>
          </cell>
          <cell r="P157">
            <v>3741378</v>
          </cell>
          <cell r="Q157">
            <v>0</v>
          </cell>
          <cell r="R157">
            <v>3184</v>
          </cell>
          <cell r="S157">
            <v>20.92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3.7440000000000002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3.7440000000000002</v>
          </cell>
          <cell r="AF157">
            <v>0</v>
          </cell>
          <cell r="AG157">
            <v>0</v>
          </cell>
          <cell r="AH157">
            <v>3744</v>
          </cell>
          <cell r="AI157">
            <v>3744</v>
          </cell>
          <cell r="AJ157">
            <v>0</v>
          </cell>
          <cell r="AK157">
            <v>0</v>
          </cell>
          <cell r="AL157">
            <v>28610</v>
          </cell>
          <cell r="AM157">
            <v>0</v>
          </cell>
          <cell r="AN157">
            <v>17874</v>
          </cell>
          <cell r="AO157">
            <v>0</v>
          </cell>
          <cell r="AP157">
            <v>0</v>
          </cell>
          <cell r="AQ157">
            <v>2808</v>
          </cell>
          <cell r="AR157">
            <v>0</v>
          </cell>
          <cell r="AS157">
            <v>19188</v>
          </cell>
          <cell r="AT157">
            <v>3180.2559999999999</v>
          </cell>
          <cell r="AW157">
            <v>5100001718</v>
          </cell>
          <cell r="AX157" t="str">
            <v>CONTITECH USA INC</v>
          </cell>
          <cell r="AY157" t="str">
            <v xml:space="preserve">MX </v>
          </cell>
          <cell r="AZ157" t="e">
            <v>#N/A</v>
          </cell>
          <cell r="BB157" t="str">
            <v>AADTD</v>
          </cell>
          <cell r="BC157" t="str">
            <v>AADTD-06.08.2026-(21B3)-JHUB</v>
          </cell>
          <cell r="BE157">
            <v>4000000</v>
          </cell>
          <cell r="BF157">
            <v>5.1618181818181821</v>
          </cell>
          <cell r="BG157">
            <v>4.0199999999999993E-3</v>
          </cell>
          <cell r="BH157">
            <v>3731</v>
          </cell>
          <cell r="BI157">
            <v>722.80732652342374</v>
          </cell>
          <cell r="BJ157">
            <v>14998.619999999997</v>
          </cell>
          <cell r="BK157">
            <v>50517.84395914054</v>
          </cell>
          <cell r="BL157">
            <v>4336.8439591405422</v>
          </cell>
          <cell r="BM157" t="str">
            <v>0</v>
          </cell>
          <cell r="BN157">
            <v>3184</v>
          </cell>
          <cell r="BO157">
            <v>3184</v>
          </cell>
          <cell r="BP157">
            <v>3184</v>
          </cell>
          <cell r="BQ157">
            <v>3184</v>
          </cell>
          <cell r="BR157">
            <v>3184</v>
          </cell>
          <cell r="BS157">
            <v>3180.2559999999999</v>
          </cell>
          <cell r="BT157">
            <v>3180.2559999999999</v>
          </cell>
          <cell r="BU157">
            <v>3180.2559999999999</v>
          </cell>
          <cell r="BV157">
            <v>3180.2559999999999</v>
          </cell>
          <cell r="BW157">
            <v>3180.2559999999999</v>
          </cell>
          <cell r="BY157" t="str">
            <v>MM</v>
          </cell>
        </row>
        <row r="158">
          <cell r="C158" t="str">
            <v>FC1Z0F2SBB01</v>
          </cell>
          <cell r="D158">
            <v>100</v>
          </cell>
          <cell r="E158" t="str">
            <v>HOSE-A/C FORMED-BARRIER GALAXY 13/32" 48</v>
          </cell>
          <cell r="F158">
            <v>0</v>
          </cell>
          <cell r="G158">
            <v>100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246</v>
          </cell>
          <cell r="O158">
            <v>0</v>
          </cell>
          <cell r="P158">
            <v>8096</v>
          </cell>
          <cell r="Q158">
            <v>0</v>
          </cell>
          <cell r="R158">
            <v>7750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2</v>
          </cell>
          <cell r="AO158">
            <v>6</v>
          </cell>
          <cell r="AP158">
            <v>11</v>
          </cell>
          <cell r="AQ158">
            <v>81</v>
          </cell>
          <cell r="AR158">
            <v>5</v>
          </cell>
          <cell r="AS158">
            <v>14</v>
          </cell>
          <cell r="AT158">
            <v>7750</v>
          </cell>
          <cell r="AW158">
            <v>5100001667</v>
          </cell>
          <cell r="AX158" t="str">
            <v>CONTITECH NORTH AMERICA,</v>
          </cell>
          <cell r="AY158" t="str">
            <v xml:space="preserve">US </v>
          </cell>
          <cell r="AZ158" t="e">
            <v>#N/A</v>
          </cell>
          <cell r="BB158" t="str">
            <v>AADTD</v>
          </cell>
          <cell r="BC158" t="str">
            <v>AADTD-06.08.2026-(21B3)-JHUB</v>
          </cell>
          <cell r="BE158">
            <v>0</v>
          </cell>
          <cell r="BF158">
            <v>9.545454545454545</v>
          </cell>
          <cell r="BG158">
            <v>1.7010000000000001</v>
          </cell>
          <cell r="BH158">
            <v>7850</v>
          </cell>
          <cell r="BI158">
            <v>822.38095238095241</v>
          </cell>
          <cell r="BJ158">
            <v>13352.85</v>
          </cell>
          <cell r="BK158">
            <v>51115.285714285717</v>
          </cell>
          <cell r="BL158">
            <v>4934.2857142857147</v>
          </cell>
          <cell r="BM158" t="str">
            <v>0</v>
          </cell>
          <cell r="BN158">
            <v>7750</v>
          </cell>
          <cell r="BO158">
            <v>7750</v>
          </cell>
          <cell r="BP158">
            <v>7750</v>
          </cell>
          <cell r="BQ158">
            <v>7750</v>
          </cell>
          <cell r="BR158">
            <v>7750</v>
          </cell>
          <cell r="BS158">
            <v>7750</v>
          </cell>
          <cell r="BT158">
            <v>7750</v>
          </cell>
          <cell r="BU158">
            <v>7750</v>
          </cell>
          <cell r="BV158">
            <v>7750</v>
          </cell>
          <cell r="BW158">
            <v>7750</v>
          </cell>
          <cell r="BY158" t="str">
            <v>EA</v>
          </cell>
        </row>
        <row r="159">
          <cell r="C159" t="str">
            <v>FC1Z0F2S5G02</v>
          </cell>
          <cell r="D159">
            <v>50</v>
          </cell>
          <cell r="E159" t="str">
            <v>HOSE-A/C FORMED-BARRIER GALAXY 3/4 4886</v>
          </cell>
          <cell r="F159">
            <v>0</v>
          </cell>
          <cell r="G159">
            <v>2550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-19</v>
          </cell>
          <cell r="N159">
            <v>3019</v>
          </cell>
          <cell r="O159">
            <v>0</v>
          </cell>
          <cell r="P159">
            <v>2654</v>
          </cell>
          <cell r="Q159">
            <v>0</v>
          </cell>
          <cell r="R159">
            <v>123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72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72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51</v>
          </cell>
          <cell r="AW159">
            <v>5100005175</v>
          </cell>
          <cell r="AX159" t="str">
            <v>CONTITECH NORTH AMERICA, INC.</v>
          </cell>
          <cell r="AY159" t="str">
            <v xml:space="preserve">US </v>
          </cell>
          <cell r="AZ159">
            <v>9</v>
          </cell>
          <cell r="BB159" t="str">
            <v>AADTD</v>
          </cell>
          <cell r="BC159" t="str">
            <v>AADTD-06.08.2026-(21B3)-JHUB</v>
          </cell>
          <cell r="BE159">
            <v>3000</v>
          </cell>
          <cell r="BF159">
            <v>6.5454545454545459</v>
          </cell>
          <cell r="BG159">
            <v>3.5579999999999998</v>
          </cell>
          <cell r="BH159">
            <v>2673</v>
          </cell>
          <cell r="BI159">
            <v>408.375</v>
          </cell>
          <cell r="BJ159">
            <v>9510.5339999999997</v>
          </cell>
          <cell r="BK159">
            <v>48631.25</v>
          </cell>
          <cell r="BL159">
            <v>2450.25</v>
          </cell>
          <cell r="BM159" t="str">
            <v>0</v>
          </cell>
          <cell r="BN159">
            <v>123</v>
          </cell>
          <cell r="BO159">
            <v>123</v>
          </cell>
          <cell r="BP159">
            <v>123</v>
          </cell>
          <cell r="BQ159">
            <v>123</v>
          </cell>
          <cell r="BR159">
            <v>123</v>
          </cell>
          <cell r="BS159">
            <v>123</v>
          </cell>
          <cell r="BT159">
            <v>123</v>
          </cell>
          <cell r="BU159">
            <v>123</v>
          </cell>
          <cell r="BV159">
            <v>123</v>
          </cell>
          <cell r="BW159">
            <v>51</v>
          </cell>
          <cell r="BY159" t="str">
            <v>EA</v>
          </cell>
        </row>
        <row r="160">
          <cell r="C160" t="str">
            <v>VPHL3H-048B60-BA</v>
          </cell>
          <cell r="D160">
            <v>5000</v>
          </cell>
          <cell r="E160" t="str">
            <v>Label - A/C 3M 7874 Thermal Polyeste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14733</v>
          </cell>
          <cell r="N160">
            <v>-9733</v>
          </cell>
          <cell r="O160">
            <v>0</v>
          </cell>
          <cell r="P160">
            <v>24733</v>
          </cell>
          <cell r="Q160">
            <v>0</v>
          </cell>
          <cell r="R160">
            <v>10000</v>
          </cell>
          <cell r="S160">
            <v>191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6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6</v>
          </cell>
          <cell r="AF160">
            <v>0</v>
          </cell>
          <cell r="AG160">
            <v>0</v>
          </cell>
          <cell r="AH160">
            <v>6</v>
          </cell>
          <cell r="AI160">
            <v>6</v>
          </cell>
          <cell r="AJ160">
            <v>3</v>
          </cell>
          <cell r="AK160">
            <v>0</v>
          </cell>
          <cell r="AL160">
            <v>72</v>
          </cell>
          <cell r="AM160">
            <v>0</v>
          </cell>
          <cell r="AN160">
            <v>0</v>
          </cell>
          <cell r="AO160">
            <v>134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9994</v>
          </cell>
          <cell r="AW160">
            <v>5100001743</v>
          </cell>
          <cell r="AX160" t="str">
            <v>GENERAL LABELS AND PRINT</v>
          </cell>
          <cell r="AY160" t="str">
            <v xml:space="preserve">US </v>
          </cell>
          <cell r="AZ160">
            <v>9</v>
          </cell>
          <cell r="BB160" t="str">
            <v>AADTD</v>
          </cell>
          <cell r="BC160" t="str">
            <v>AADTD-06.08.2026-(21B3)-EPDC</v>
          </cell>
          <cell r="BE160">
            <v>5000</v>
          </cell>
          <cell r="BF160">
            <v>20.09090909090909</v>
          </cell>
          <cell r="BG160">
            <v>0.14537</v>
          </cell>
          <cell r="BH160">
            <v>10000</v>
          </cell>
          <cell r="BI160">
            <v>497.73755656108602</v>
          </cell>
          <cell r="BJ160">
            <v>1453.7</v>
          </cell>
          <cell r="BK160">
            <v>49167.425339366513</v>
          </cell>
          <cell r="BL160">
            <v>2986.4253393665163</v>
          </cell>
          <cell r="BM160" t="str">
            <v>0</v>
          </cell>
          <cell r="BN160">
            <v>10000</v>
          </cell>
          <cell r="BO160">
            <v>10000</v>
          </cell>
          <cell r="BP160">
            <v>10000</v>
          </cell>
          <cell r="BQ160">
            <v>10000</v>
          </cell>
          <cell r="BR160">
            <v>10000</v>
          </cell>
          <cell r="BS160">
            <v>9994</v>
          </cell>
          <cell r="BT160">
            <v>9994</v>
          </cell>
          <cell r="BU160">
            <v>9994</v>
          </cell>
          <cell r="BV160">
            <v>9994</v>
          </cell>
          <cell r="BW160">
            <v>9994</v>
          </cell>
          <cell r="BY160" t="str">
            <v>EA</v>
          </cell>
        </row>
        <row r="161">
          <cell r="C161" t="str">
            <v>VPHL3H-048B60-CA</v>
          </cell>
          <cell r="D161">
            <v>5000</v>
          </cell>
          <cell r="E161" t="str">
            <v>Label - A/C 3M 7874 Thermal Polyeste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28392</v>
          </cell>
          <cell r="N161">
            <v>6608</v>
          </cell>
          <cell r="O161">
            <v>0</v>
          </cell>
          <cell r="P161">
            <v>53392</v>
          </cell>
          <cell r="Q161">
            <v>0</v>
          </cell>
          <cell r="R161">
            <v>25000</v>
          </cell>
          <cell r="S161">
            <v>48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26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26</v>
          </cell>
          <cell r="AF161">
            <v>0</v>
          </cell>
          <cell r="AG161">
            <v>0</v>
          </cell>
          <cell r="AH161">
            <v>26</v>
          </cell>
          <cell r="AI161">
            <v>26</v>
          </cell>
          <cell r="AJ161">
            <v>0</v>
          </cell>
          <cell r="AK161">
            <v>0</v>
          </cell>
          <cell r="AL161">
            <v>15</v>
          </cell>
          <cell r="AM161">
            <v>0</v>
          </cell>
          <cell r="AN161">
            <v>274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108</v>
          </cell>
          <cell r="AT161">
            <v>24974</v>
          </cell>
          <cell r="AW161">
            <v>5100001743</v>
          </cell>
          <cell r="AX161" t="str">
            <v>GENERAL LABELS AND PRINT</v>
          </cell>
          <cell r="AY161" t="str">
            <v xml:space="preserve">US </v>
          </cell>
          <cell r="AZ161">
            <v>9</v>
          </cell>
          <cell r="BB161" t="str">
            <v>AADTD</v>
          </cell>
          <cell r="BC161" t="str">
            <v>AADTD-06.08.2026-(21B3)-EPDC</v>
          </cell>
          <cell r="BE161">
            <v>35000</v>
          </cell>
          <cell r="BF161">
            <v>31</v>
          </cell>
          <cell r="BG161">
            <v>0.14537</v>
          </cell>
          <cell r="BH161">
            <v>25000</v>
          </cell>
          <cell r="BI161">
            <v>806.45161290322585</v>
          </cell>
          <cell r="BJ161">
            <v>3634.25</v>
          </cell>
          <cell r="BK161">
            <v>51019.709677419356</v>
          </cell>
          <cell r="BL161">
            <v>4838.7096774193551</v>
          </cell>
          <cell r="BM161" t="str">
            <v>0</v>
          </cell>
          <cell r="BN161">
            <v>25000</v>
          </cell>
          <cell r="BO161">
            <v>25000</v>
          </cell>
          <cell r="BP161">
            <v>25000</v>
          </cell>
          <cell r="BQ161">
            <v>25000</v>
          </cell>
          <cell r="BR161">
            <v>25000</v>
          </cell>
          <cell r="BS161">
            <v>24974</v>
          </cell>
          <cell r="BT161">
            <v>24974</v>
          </cell>
          <cell r="BU161">
            <v>24974</v>
          </cell>
          <cell r="BV161">
            <v>24974</v>
          </cell>
          <cell r="BW161">
            <v>24974</v>
          </cell>
          <cell r="BY161" t="str">
            <v>EA</v>
          </cell>
        </row>
        <row r="162">
          <cell r="C162" t="str">
            <v>FC1Z0F2S3G02</v>
          </cell>
          <cell r="D162">
            <v>100</v>
          </cell>
          <cell r="E162" t="str">
            <v>HOSE-A/C FORMED-BARRIER 13/32 4898 Galax</v>
          </cell>
          <cell r="F162">
            <v>0</v>
          </cell>
          <cell r="G162">
            <v>500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826</v>
          </cell>
          <cell r="Q162">
            <v>0</v>
          </cell>
          <cell r="R162">
            <v>326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326</v>
          </cell>
          <cell r="AW162">
            <v>5100005175</v>
          </cell>
          <cell r="AX162" t="str">
            <v>CONTITECH NORTH AMERICA,</v>
          </cell>
          <cell r="AY162" t="str">
            <v xml:space="preserve">US </v>
          </cell>
          <cell r="AZ162">
            <v>9</v>
          </cell>
          <cell r="BB162" t="str">
            <v>AADTD</v>
          </cell>
          <cell r="BC162" t="str">
            <v>AADTD-06.08.2026-(21B3)-JHUB</v>
          </cell>
          <cell r="BE162">
            <v>0</v>
          </cell>
          <cell r="BF162">
            <v>1</v>
          </cell>
          <cell r="BG162">
            <v>2.1840000000000002</v>
          </cell>
          <cell r="BH162">
            <v>826</v>
          </cell>
          <cell r="BI162">
            <v>826</v>
          </cell>
          <cell r="BJ162">
            <v>1803.9840000000002</v>
          </cell>
          <cell r="BK162">
            <v>51137</v>
          </cell>
          <cell r="BL162">
            <v>4956</v>
          </cell>
          <cell r="BM162" t="str">
            <v>0</v>
          </cell>
          <cell r="BN162">
            <v>326</v>
          </cell>
          <cell r="BO162">
            <v>326</v>
          </cell>
          <cell r="BP162">
            <v>326</v>
          </cell>
          <cell r="BQ162">
            <v>326</v>
          </cell>
          <cell r="BR162">
            <v>326</v>
          </cell>
          <cell r="BS162">
            <v>326</v>
          </cell>
          <cell r="BT162">
            <v>326</v>
          </cell>
          <cell r="BU162">
            <v>326</v>
          </cell>
          <cell r="BV162">
            <v>326</v>
          </cell>
          <cell r="BW162">
            <v>326</v>
          </cell>
          <cell r="BY162" t="str">
            <v>EA</v>
          </cell>
        </row>
        <row r="163">
          <cell r="C163" t="str">
            <v>FC1Z0F2S5F01</v>
          </cell>
          <cell r="D163">
            <v>25</v>
          </cell>
          <cell r="E163" t="str">
            <v>Preformed hose 5/8?</v>
          </cell>
          <cell r="F163">
            <v>0</v>
          </cell>
          <cell r="G163">
            <v>900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120</v>
          </cell>
          <cell r="N163">
            <v>1380</v>
          </cell>
          <cell r="O163">
            <v>0</v>
          </cell>
          <cell r="P163">
            <v>1695</v>
          </cell>
          <cell r="Q163">
            <v>0</v>
          </cell>
          <cell r="R163">
            <v>675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675</v>
          </cell>
          <cell r="AW163">
            <v>5100005175</v>
          </cell>
          <cell r="AX163" t="str">
            <v>CONTITECH NORTH AMERICA,</v>
          </cell>
          <cell r="AY163" t="str">
            <v xml:space="preserve">US </v>
          </cell>
          <cell r="AZ163">
            <v>9</v>
          </cell>
          <cell r="BB163" t="str">
            <v>AADTD</v>
          </cell>
          <cell r="BC163" t="str">
            <v>AADTD-06.08.2026-(21B3)-JHUB</v>
          </cell>
          <cell r="BE163">
            <v>1500</v>
          </cell>
          <cell r="BF163">
            <v>1</v>
          </cell>
          <cell r="BG163">
            <v>3.9169999999999998</v>
          </cell>
          <cell r="BH163">
            <v>1575</v>
          </cell>
          <cell r="BI163">
            <v>1575</v>
          </cell>
          <cell r="BJ163">
            <v>6169.2749999999996</v>
          </cell>
          <cell r="BK163">
            <v>55631</v>
          </cell>
          <cell r="BL163">
            <v>9450</v>
          </cell>
          <cell r="BM163" t="str">
            <v>0</v>
          </cell>
          <cell r="BN163">
            <v>675</v>
          </cell>
          <cell r="BO163">
            <v>675</v>
          </cell>
          <cell r="BP163">
            <v>675</v>
          </cell>
          <cell r="BQ163">
            <v>675</v>
          </cell>
          <cell r="BR163">
            <v>675</v>
          </cell>
          <cell r="BS163">
            <v>675</v>
          </cell>
          <cell r="BT163">
            <v>675</v>
          </cell>
          <cell r="BU163">
            <v>675</v>
          </cell>
          <cell r="BV163">
            <v>675</v>
          </cell>
          <cell r="BW163">
            <v>675</v>
          </cell>
          <cell r="BX163" t="str">
            <v>FC1Z0F2S5F01</v>
          </cell>
          <cell r="BY163" t="str">
            <v>EA</v>
          </cell>
        </row>
        <row r="164">
          <cell r="C164" t="str">
            <v>FC1Z0F2SZA01</v>
          </cell>
          <cell r="D164">
            <v>100</v>
          </cell>
          <cell r="E164" t="str">
            <v>HOSE-A/C FORMED-BARRIER GALAXY 5/16 4898</v>
          </cell>
          <cell r="F164">
            <v>0</v>
          </cell>
          <cell r="G164">
            <v>9000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52</v>
          </cell>
          <cell r="O164">
            <v>0</v>
          </cell>
          <cell r="P164">
            <v>16996</v>
          </cell>
          <cell r="Q164">
            <v>0</v>
          </cell>
          <cell r="R164">
            <v>7944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2</v>
          </cell>
          <cell r="AO164">
            <v>6</v>
          </cell>
          <cell r="AP164">
            <v>11</v>
          </cell>
          <cell r="AQ164">
            <v>81</v>
          </cell>
          <cell r="AR164">
            <v>5</v>
          </cell>
          <cell r="AS164">
            <v>14</v>
          </cell>
          <cell r="AT164">
            <v>7944</v>
          </cell>
          <cell r="AW164">
            <v>5100001667</v>
          </cell>
          <cell r="AX164" t="str">
            <v>CONTITECH NORTH AMERICA,</v>
          </cell>
          <cell r="AY164" t="str">
            <v xml:space="preserve">US </v>
          </cell>
          <cell r="AZ164" t="e">
            <v>#N/A</v>
          </cell>
          <cell r="BB164" t="str">
            <v>AADTD</v>
          </cell>
          <cell r="BC164" t="str">
            <v>AADTD-06.08.2026-(21B3)-JHUB</v>
          </cell>
          <cell r="BE164">
            <v>0</v>
          </cell>
          <cell r="BF164">
            <v>9.545454545454545</v>
          </cell>
          <cell r="BG164">
            <v>2.0059999999999998</v>
          </cell>
          <cell r="BH164">
            <v>16944</v>
          </cell>
          <cell r="BI164">
            <v>1775.0857142857144</v>
          </cell>
          <cell r="BJ164">
            <v>33989.663999999997</v>
          </cell>
          <cell r="BK164">
            <v>56831.514285714286</v>
          </cell>
          <cell r="BL164">
            <v>10650.514285714286</v>
          </cell>
          <cell r="BM164" t="str">
            <v>0</v>
          </cell>
          <cell r="BN164">
            <v>7944</v>
          </cell>
          <cell r="BO164">
            <v>7944</v>
          </cell>
          <cell r="BP164">
            <v>7944</v>
          </cell>
          <cell r="BQ164">
            <v>7944</v>
          </cell>
          <cell r="BR164">
            <v>7944</v>
          </cell>
          <cell r="BS164">
            <v>7944</v>
          </cell>
          <cell r="BT164">
            <v>7944</v>
          </cell>
          <cell r="BU164">
            <v>7944</v>
          </cell>
          <cell r="BV164">
            <v>7944</v>
          </cell>
          <cell r="BW164">
            <v>7944</v>
          </cell>
          <cell r="BY164" t="str">
            <v>EA</v>
          </cell>
        </row>
        <row r="165">
          <cell r="C165" t="str">
            <v>FC1Z0F2S3H01</v>
          </cell>
          <cell r="D165">
            <v>100</v>
          </cell>
          <cell r="E165" t="str">
            <v>HOSE-A/C FORMED-BARRIER 3/4 4868 Galaxy</v>
          </cell>
          <cell r="F165">
            <v>100</v>
          </cell>
          <cell r="G165">
            <v>600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-1</v>
          </cell>
          <cell r="O165">
            <v>0</v>
          </cell>
          <cell r="P165">
            <v>749</v>
          </cell>
          <cell r="Q165">
            <v>0</v>
          </cell>
          <cell r="R165">
            <v>50</v>
          </cell>
          <cell r="S165">
            <v>8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1</v>
          </cell>
          <cell r="AP165">
            <v>2</v>
          </cell>
          <cell r="AQ165">
            <v>1</v>
          </cell>
          <cell r="AR165">
            <v>0</v>
          </cell>
          <cell r="AS165">
            <v>0</v>
          </cell>
          <cell r="AT165">
            <v>50</v>
          </cell>
          <cell r="AW165">
            <v>5100001667</v>
          </cell>
          <cell r="AX165" t="str">
            <v>CONTITECH NORTH AMERICA,</v>
          </cell>
          <cell r="AY165" t="str">
            <v xml:space="preserve">US </v>
          </cell>
          <cell r="AZ165" t="e">
            <v>#N/A</v>
          </cell>
          <cell r="BB165" t="str">
            <v>AADTD</v>
          </cell>
          <cell r="BC165" t="str">
            <v>AADTD-06.08.2026-(21B3)-JHUB</v>
          </cell>
          <cell r="BE165">
            <v>0</v>
          </cell>
          <cell r="BF165">
            <v>0.36363636363636365</v>
          </cell>
          <cell r="BG165">
            <v>3.5070000000000001</v>
          </cell>
          <cell r="BH165">
            <v>750</v>
          </cell>
          <cell r="BI165">
            <v>2062.5</v>
          </cell>
          <cell r="BJ165">
            <v>2630.25</v>
          </cell>
          <cell r="BK165">
            <v>58556</v>
          </cell>
          <cell r="BL165">
            <v>12375</v>
          </cell>
          <cell r="BM165" t="str">
            <v>0</v>
          </cell>
          <cell r="BN165">
            <v>50</v>
          </cell>
          <cell r="BO165">
            <v>50</v>
          </cell>
          <cell r="BP165">
            <v>50</v>
          </cell>
          <cell r="BQ165">
            <v>50</v>
          </cell>
          <cell r="BR165">
            <v>50</v>
          </cell>
          <cell r="BS165">
            <v>50</v>
          </cell>
          <cell r="BT165">
            <v>50</v>
          </cell>
          <cell r="BU165">
            <v>50</v>
          </cell>
          <cell r="BV165">
            <v>50</v>
          </cell>
          <cell r="BW165">
            <v>50</v>
          </cell>
          <cell r="BY165" t="str">
            <v>EA</v>
          </cell>
        </row>
        <row r="166">
          <cell r="C166" t="str">
            <v>FC1A5F2S1L01</v>
          </cell>
          <cell r="D166">
            <v>2000</v>
          </cell>
          <cell r="E166" t="str">
            <v>SLV ABRAS BRD TWIST TUBE D16_T0.57_L0090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1483</v>
          </cell>
          <cell r="N166">
            <v>-1483</v>
          </cell>
          <cell r="O166">
            <v>0</v>
          </cell>
          <cell r="P166">
            <v>9227</v>
          </cell>
          <cell r="Q166">
            <v>0</v>
          </cell>
          <cell r="R166">
            <v>7744</v>
          </cell>
          <cell r="S166">
            <v>5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5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5</v>
          </cell>
          <cell r="AF166">
            <v>0</v>
          </cell>
          <cell r="AG166">
            <v>0</v>
          </cell>
          <cell r="AH166">
            <v>5</v>
          </cell>
          <cell r="AI166">
            <v>5</v>
          </cell>
          <cell r="AJ166">
            <v>3</v>
          </cell>
          <cell r="AK166">
            <v>0</v>
          </cell>
          <cell r="AL166">
            <v>8</v>
          </cell>
          <cell r="AM166">
            <v>0</v>
          </cell>
          <cell r="AN166">
            <v>0</v>
          </cell>
          <cell r="AO166">
            <v>0</v>
          </cell>
          <cell r="AP166">
            <v>24</v>
          </cell>
          <cell r="AQ166">
            <v>0</v>
          </cell>
          <cell r="AR166">
            <v>0</v>
          </cell>
          <cell r="AS166">
            <v>0</v>
          </cell>
          <cell r="AT166">
            <v>7739</v>
          </cell>
          <cell r="AW166">
            <v>5100001898</v>
          </cell>
          <cell r="AX166" t="str">
            <v xml:space="preserve">FEDERAL-MOGUL POWERTRAIN- Qro </v>
          </cell>
          <cell r="AY166" t="str">
            <v xml:space="preserve">US </v>
          </cell>
          <cell r="AZ166">
            <v>9</v>
          </cell>
          <cell r="BB166" t="str">
            <v>AADTD</v>
          </cell>
          <cell r="BC166" t="str">
            <v>AADTD-06.08.2026-(21B3)-EPDC</v>
          </cell>
          <cell r="BE166">
            <v>0</v>
          </cell>
          <cell r="BF166">
            <v>4.0909090909090908</v>
          </cell>
          <cell r="BG166">
            <v>7.6299999999999993E-2</v>
          </cell>
          <cell r="BH166">
            <v>7744</v>
          </cell>
          <cell r="BI166">
            <v>1892.9777777777779</v>
          </cell>
          <cell r="BJ166">
            <v>590.86719999999991</v>
          </cell>
          <cell r="BK166">
            <v>57538.866666666669</v>
          </cell>
          <cell r="BL166">
            <v>11357.866666666667</v>
          </cell>
          <cell r="BM166" t="str">
            <v>0</v>
          </cell>
          <cell r="BN166">
            <v>7744</v>
          </cell>
          <cell r="BO166">
            <v>7744</v>
          </cell>
          <cell r="BP166">
            <v>7744</v>
          </cell>
          <cell r="BQ166">
            <v>7744</v>
          </cell>
          <cell r="BR166">
            <v>7744</v>
          </cell>
          <cell r="BS166">
            <v>7739</v>
          </cell>
          <cell r="BT166">
            <v>7739</v>
          </cell>
          <cell r="BU166">
            <v>7739</v>
          </cell>
          <cell r="BV166">
            <v>7739</v>
          </cell>
          <cell r="BW166">
            <v>7739</v>
          </cell>
          <cell r="BY166" t="str">
            <v>EA</v>
          </cell>
        </row>
        <row r="167">
          <cell r="C167" t="str">
            <v>FC1A3F2S6C01</v>
          </cell>
          <cell r="D167">
            <v>1000</v>
          </cell>
          <cell r="E167" t="str">
            <v>SLV ABRAS BRD MONOFI</v>
          </cell>
          <cell r="F167">
            <v>0</v>
          </cell>
          <cell r="G167">
            <v>1000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26</v>
          </cell>
          <cell r="N167">
            <v>2974</v>
          </cell>
          <cell r="O167">
            <v>0</v>
          </cell>
          <cell r="P167">
            <v>3026</v>
          </cell>
          <cell r="Q167">
            <v>0</v>
          </cell>
          <cell r="R167">
            <v>2000</v>
          </cell>
          <cell r="S167">
            <v>0</v>
          </cell>
          <cell r="T167">
            <v>0</v>
          </cell>
          <cell r="U167">
            <v>2</v>
          </cell>
          <cell r="V167">
            <v>2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4</v>
          </cell>
          <cell r="AI167">
            <v>0</v>
          </cell>
          <cell r="AJ167">
            <v>0</v>
          </cell>
          <cell r="AK167">
            <v>0</v>
          </cell>
          <cell r="AL167">
            <v>3</v>
          </cell>
          <cell r="AM167">
            <v>0</v>
          </cell>
          <cell r="AN167">
            <v>1</v>
          </cell>
          <cell r="AO167">
            <v>3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2000</v>
          </cell>
          <cell r="AW167">
            <v>5100005155</v>
          </cell>
          <cell r="AX167" t="str">
            <v xml:space="preserve">FEDERAL-MOGUL POWERTRAIN- Qro </v>
          </cell>
          <cell r="AY167" t="str">
            <v xml:space="preserve">US </v>
          </cell>
          <cell r="AZ167">
            <v>9</v>
          </cell>
          <cell r="BB167" t="str">
            <v>AADTD</v>
          </cell>
          <cell r="BC167" t="str">
            <v>AADTD-06.08.2026-(21B3)-JHUB</v>
          </cell>
          <cell r="BD167">
            <v>6750</v>
          </cell>
          <cell r="BE167">
            <v>3000</v>
          </cell>
          <cell r="BF167">
            <v>1</v>
          </cell>
          <cell r="BG167">
            <v>0.21719999999999998</v>
          </cell>
          <cell r="BH167">
            <v>3000</v>
          </cell>
          <cell r="BI167">
            <v>3000</v>
          </cell>
          <cell r="BJ167">
            <v>651.59999999999991</v>
          </cell>
          <cell r="BK167">
            <v>64181</v>
          </cell>
          <cell r="BL167">
            <v>18000</v>
          </cell>
          <cell r="BM167" t="str">
            <v>0</v>
          </cell>
          <cell r="BN167">
            <v>2000</v>
          </cell>
          <cell r="BO167">
            <v>2000</v>
          </cell>
          <cell r="BP167">
            <v>1998</v>
          </cell>
          <cell r="BQ167">
            <v>1996</v>
          </cell>
          <cell r="BR167">
            <v>1996</v>
          </cell>
          <cell r="BS167">
            <v>1996</v>
          </cell>
          <cell r="BT167">
            <v>1996</v>
          </cell>
          <cell r="BU167">
            <v>1996</v>
          </cell>
          <cell r="BV167">
            <v>1996</v>
          </cell>
          <cell r="BW167">
            <v>1996</v>
          </cell>
          <cell r="BY167" t="str">
            <v>EA</v>
          </cell>
        </row>
        <row r="168">
          <cell r="C168" t="str">
            <v>6L2H-19E889-BBS100</v>
          </cell>
          <cell r="D168">
            <v>50000</v>
          </cell>
          <cell r="E168" t="str">
            <v>O/RG A/C CONN O-RINGS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11644</v>
          </cell>
          <cell r="O168">
            <v>0</v>
          </cell>
          <cell r="P168">
            <v>16324</v>
          </cell>
          <cell r="Q168">
            <v>0</v>
          </cell>
          <cell r="R168">
            <v>4680</v>
          </cell>
          <cell r="S168">
            <v>396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28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28</v>
          </cell>
          <cell r="AF168">
            <v>0</v>
          </cell>
          <cell r="AG168">
            <v>0</v>
          </cell>
          <cell r="AH168">
            <v>28</v>
          </cell>
          <cell r="AI168">
            <v>28</v>
          </cell>
          <cell r="AJ168">
            <v>0</v>
          </cell>
          <cell r="AK168">
            <v>0</v>
          </cell>
          <cell r="AL168">
            <v>12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4652</v>
          </cell>
          <cell r="AW168" t="str">
            <v>-</v>
          </cell>
          <cell r="AX168" t="str">
            <v>TRELLEBORG SEALING SOLUT</v>
          </cell>
          <cell r="AY168" t="str">
            <v>-</v>
          </cell>
          <cell r="AZ168" t="e">
            <v>#N/A</v>
          </cell>
          <cell r="BB168" t="str">
            <v>AADTD</v>
          </cell>
          <cell r="BC168" t="str">
            <v>AADTD-06.08.2026-(21B3)-EPDC</v>
          </cell>
          <cell r="BE168">
            <v>3000</v>
          </cell>
          <cell r="BF168">
            <v>6.1818181818181817</v>
          </cell>
          <cell r="BG168">
            <v>0.113</v>
          </cell>
          <cell r="BH168">
            <v>4680</v>
          </cell>
          <cell r="BI168">
            <v>757.05882352941182</v>
          </cell>
          <cell r="BJ168">
            <v>528.84</v>
          </cell>
          <cell r="BK168">
            <v>50723.352941176468</v>
          </cell>
          <cell r="BL168">
            <v>4542.3529411764712</v>
          </cell>
          <cell r="BM168" t="str">
            <v>0</v>
          </cell>
          <cell r="BN168">
            <v>4680</v>
          </cell>
          <cell r="BO168">
            <v>4680</v>
          </cell>
          <cell r="BP168">
            <v>4680</v>
          </cell>
          <cell r="BQ168">
            <v>4680</v>
          </cell>
          <cell r="BR168">
            <v>4680</v>
          </cell>
          <cell r="BS168">
            <v>4652</v>
          </cell>
          <cell r="BT168">
            <v>4652</v>
          </cell>
          <cell r="BU168">
            <v>4652</v>
          </cell>
          <cell r="BV168">
            <v>4652</v>
          </cell>
          <cell r="BW168">
            <v>4652</v>
          </cell>
          <cell r="BY168" t="str">
            <v>EA</v>
          </cell>
        </row>
        <row r="169">
          <cell r="C169" t="str">
            <v>FC2C5F2SOC01</v>
          </cell>
          <cell r="D169">
            <v>1500</v>
          </cell>
          <cell r="E169" t="str">
            <v>GROMMET-A/C TUBE BRKT</v>
          </cell>
          <cell r="F169">
            <v>0</v>
          </cell>
          <cell r="G169">
            <v>1500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-193</v>
          </cell>
          <cell r="O169">
            <v>0</v>
          </cell>
          <cell r="P169">
            <v>1307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30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294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30</v>
          </cell>
          <cell r="AI169">
            <v>294</v>
          </cell>
          <cell r="AJ169">
            <v>0</v>
          </cell>
          <cell r="AK169">
            <v>0</v>
          </cell>
          <cell r="AL169">
            <v>256</v>
          </cell>
          <cell r="AM169">
            <v>256</v>
          </cell>
          <cell r="AN169">
            <v>256</v>
          </cell>
          <cell r="AO169">
            <v>0</v>
          </cell>
          <cell r="AP169">
            <v>256</v>
          </cell>
          <cell r="AQ169">
            <v>256</v>
          </cell>
          <cell r="AR169">
            <v>0</v>
          </cell>
          <cell r="AS169">
            <v>256</v>
          </cell>
          <cell r="AT169">
            <v>-294</v>
          </cell>
          <cell r="AW169">
            <v>5100001667</v>
          </cell>
          <cell r="AX169" t="str">
            <v>SINCLAIR &amp; RUSH, INC.</v>
          </cell>
          <cell r="AY169" t="str">
            <v xml:space="preserve">US </v>
          </cell>
          <cell r="AZ169" t="e">
            <v>#N/A</v>
          </cell>
          <cell r="BB169" t="str">
            <v>AADTD</v>
          </cell>
          <cell r="BC169" t="str">
            <v>AADTD-06.08.2026-(21B3)-JHUB</v>
          </cell>
          <cell r="BE169">
            <v>0</v>
          </cell>
          <cell r="BF169">
            <v>145.81818181818181</v>
          </cell>
          <cell r="BG169">
            <v>0.22500000000000001</v>
          </cell>
          <cell r="BH169">
            <v>1500</v>
          </cell>
          <cell r="BI169">
            <v>10.286783042394015</v>
          </cell>
          <cell r="BJ169">
            <v>337.5</v>
          </cell>
          <cell r="BK169">
            <v>46242.720698254365</v>
          </cell>
          <cell r="BL169">
            <v>61.720698254364095</v>
          </cell>
          <cell r="BM169" t="str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-30</v>
          </cell>
          <cell r="BS169">
            <v>-30</v>
          </cell>
          <cell r="BT169">
            <v>-30</v>
          </cell>
          <cell r="BU169">
            <v>-30</v>
          </cell>
          <cell r="BV169">
            <v>-324</v>
          </cell>
          <cell r="BW169">
            <v>-324</v>
          </cell>
          <cell r="BY169" t="str">
            <v>EA</v>
          </cell>
        </row>
        <row r="170">
          <cell r="C170" t="str">
            <v>VP8L8H-19E778-BA</v>
          </cell>
          <cell r="D170">
            <v>2500</v>
          </cell>
          <cell r="E170" t="str">
            <v>1/2in DSL SHIPPING CAP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-111</v>
          </cell>
          <cell r="O170">
            <v>0</v>
          </cell>
          <cell r="P170">
            <v>3881</v>
          </cell>
          <cell r="Q170">
            <v>0</v>
          </cell>
          <cell r="R170">
            <v>3992</v>
          </cell>
          <cell r="S170">
            <v>28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4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4</v>
          </cell>
          <cell r="AF170">
            <v>0</v>
          </cell>
          <cell r="AG170">
            <v>0</v>
          </cell>
          <cell r="AH170">
            <v>4</v>
          </cell>
          <cell r="AI170">
            <v>4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3988</v>
          </cell>
          <cell r="AW170">
            <v>5100001718</v>
          </cell>
          <cell r="AX170" t="str">
            <v>ESSENTRA PLASTICS,LLC DB</v>
          </cell>
          <cell r="AY170" t="str">
            <v xml:space="preserve">MX </v>
          </cell>
          <cell r="AZ170" t="e">
            <v>#N/A</v>
          </cell>
          <cell r="BB170" t="str">
            <v>AADTD</v>
          </cell>
          <cell r="BC170" t="str">
            <v>AADTD-06.08.2026-(21B3)-EPDC</v>
          </cell>
          <cell r="BE170">
            <v>0</v>
          </cell>
          <cell r="BF170">
            <v>0.72727272727272729</v>
          </cell>
          <cell r="BG170">
            <v>7.8099999999999989E-2</v>
          </cell>
          <cell r="BH170">
            <v>3992</v>
          </cell>
          <cell r="BI170">
            <v>5489</v>
          </cell>
          <cell r="BJ170">
            <v>311.77519999999998</v>
          </cell>
          <cell r="BK170">
            <v>79115</v>
          </cell>
          <cell r="BL170">
            <v>32934</v>
          </cell>
          <cell r="BM170" t="str">
            <v>0</v>
          </cell>
          <cell r="BN170">
            <v>3992</v>
          </cell>
          <cell r="BO170">
            <v>3992</v>
          </cell>
          <cell r="BP170">
            <v>3992</v>
          </cell>
          <cell r="BQ170">
            <v>3992</v>
          </cell>
          <cell r="BR170">
            <v>3992</v>
          </cell>
          <cell r="BS170">
            <v>3988</v>
          </cell>
          <cell r="BT170">
            <v>3988</v>
          </cell>
          <cell r="BU170">
            <v>3988</v>
          </cell>
          <cell r="BV170">
            <v>3988</v>
          </cell>
          <cell r="BW170">
            <v>3988</v>
          </cell>
          <cell r="BY170" t="str">
            <v>EA</v>
          </cell>
        </row>
        <row r="171">
          <cell r="C171" t="str">
            <v>VPHL3H-048B60-AA</v>
          </cell>
          <cell r="D171">
            <v>5000</v>
          </cell>
          <cell r="E171" t="str">
            <v>Label - A/C 3M 7874 Thermal Polyeste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8493</v>
          </cell>
          <cell r="N171">
            <v>-8493</v>
          </cell>
          <cell r="O171">
            <v>0</v>
          </cell>
          <cell r="P171">
            <v>38493</v>
          </cell>
          <cell r="Q171">
            <v>0</v>
          </cell>
          <cell r="R171">
            <v>30000</v>
          </cell>
          <cell r="S171">
            <v>8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22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22</v>
          </cell>
          <cell r="AF171">
            <v>0</v>
          </cell>
          <cell r="AG171">
            <v>0</v>
          </cell>
          <cell r="AH171">
            <v>22</v>
          </cell>
          <cell r="AI171">
            <v>22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18</v>
          </cell>
          <cell r="AO171">
            <v>32</v>
          </cell>
          <cell r="AP171">
            <v>0</v>
          </cell>
          <cell r="AQ171">
            <v>6</v>
          </cell>
          <cell r="AR171">
            <v>0</v>
          </cell>
          <cell r="AS171">
            <v>76</v>
          </cell>
          <cell r="AT171">
            <v>29978</v>
          </cell>
          <cell r="AW171">
            <v>5100001743</v>
          </cell>
          <cell r="AX171" t="str">
            <v>GENERAL LABELS AND PRINT</v>
          </cell>
          <cell r="AY171" t="str">
            <v xml:space="preserve">US </v>
          </cell>
          <cell r="AZ171">
            <v>9</v>
          </cell>
          <cell r="BB171" t="str">
            <v>AADTD</v>
          </cell>
          <cell r="BC171" t="str">
            <v>AADTD-06.08.2026-(21B3)-EPDC</v>
          </cell>
          <cell r="BD171">
            <v>6750</v>
          </cell>
          <cell r="BE171">
            <v>0</v>
          </cell>
          <cell r="BF171">
            <v>9.0909090909090917</v>
          </cell>
          <cell r="BG171">
            <v>0.14537</v>
          </cell>
          <cell r="BH171">
            <v>30000</v>
          </cell>
          <cell r="BI171">
            <v>3299.9999999999995</v>
          </cell>
          <cell r="BJ171">
            <v>4361.1000000000004</v>
          </cell>
          <cell r="BK171">
            <v>65981</v>
          </cell>
          <cell r="BL171">
            <v>19799.999999999996</v>
          </cell>
          <cell r="BM171" t="str">
            <v>0</v>
          </cell>
          <cell r="BN171">
            <v>30000</v>
          </cell>
          <cell r="BO171">
            <v>30000</v>
          </cell>
          <cell r="BP171">
            <v>30000</v>
          </cell>
          <cell r="BQ171">
            <v>30000</v>
          </cell>
          <cell r="BR171">
            <v>30000</v>
          </cell>
          <cell r="BS171">
            <v>29978</v>
          </cell>
          <cell r="BT171">
            <v>29978</v>
          </cell>
          <cell r="BU171">
            <v>29978</v>
          </cell>
          <cell r="BV171">
            <v>29978</v>
          </cell>
          <cell r="BW171">
            <v>29978</v>
          </cell>
          <cell r="BY171" t="str">
            <v>EA</v>
          </cell>
        </row>
        <row r="172">
          <cell r="C172" t="str">
            <v>FC2C5F2SEC01</v>
          </cell>
          <cell r="D172">
            <v>1500</v>
          </cell>
          <cell r="E172" t="str">
            <v>GROMMET-A/C TUBE BRKT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O172">
            <v>0</v>
          </cell>
          <cell r="P172">
            <v>5165</v>
          </cell>
          <cell r="Q172">
            <v>0</v>
          </cell>
          <cell r="R172">
            <v>5165</v>
          </cell>
          <cell r="S172">
            <v>53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4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5165</v>
          </cell>
          <cell r="AW172">
            <v>5100001667</v>
          </cell>
          <cell r="AX172" t="str">
            <v>SINCLAIR &amp; RUSH, INC.</v>
          </cell>
          <cell r="AY172" t="str">
            <v xml:space="preserve">US </v>
          </cell>
          <cell r="AZ172" t="e">
            <v>#N/A</v>
          </cell>
          <cell r="BB172" t="str">
            <v>AADTD</v>
          </cell>
          <cell r="BC172" t="str">
            <v>AADTD-06.08.2026-(21B3)-EPDC</v>
          </cell>
          <cell r="BE172">
            <v>0</v>
          </cell>
          <cell r="BF172">
            <v>0.36363636363636365</v>
          </cell>
          <cell r="BG172">
            <v>0.15</v>
          </cell>
          <cell r="BH172">
            <v>5165</v>
          </cell>
          <cell r="BI172">
            <v>14203.75</v>
          </cell>
          <cell r="BJ172">
            <v>774.75</v>
          </cell>
          <cell r="BK172">
            <v>131403.5</v>
          </cell>
          <cell r="BL172">
            <v>85222.5</v>
          </cell>
          <cell r="BM172" t="str">
            <v>0</v>
          </cell>
          <cell r="BN172">
            <v>5165</v>
          </cell>
          <cell r="BO172">
            <v>5165</v>
          </cell>
          <cell r="BP172">
            <v>5165</v>
          </cell>
          <cell r="BQ172">
            <v>5165</v>
          </cell>
          <cell r="BR172">
            <v>5165</v>
          </cell>
          <cell r="BS172">
            <v>5165</v>
          </cell>
          <cell r="BT172">
            <v>5165</v>
          </cell>
          <cell r="BU172">
            <v>5165</v>
          </cell>
          <cell r="BV172">
            <v>5165</v>
          </cell>
          <cell r="BW172">
            <v>5165</v>
          </cell>
          <cell r="BY172" t="str">
            <v>EA</v>
          </cell>
        </row>
        <row r="173">
          <cell r="C173" t="str">
            <v>FC2B1F2SMH01</v>
          </cell>
          <cell r="D173">
            <v>150</v>
          </cell>
          <cell r="E173" t="str">
            <v>BRKT/CLIP-A/C LINE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30</v>
          </cell>
          <cell r="N173">
            <v>670</v>
          </cell>
          <cell r="O173">
            <v>0</v>
          </cell>
          <cell r="P173">
            <v>5488</v>
          </cell>
          <cell r="Q173">
            <v>0</v>
          </cell>
          <cell r="R173">
            <v>5458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5458</v>
          </cell>
          <cell r="AW173">
            <v>5100001774</v>
          </cell>
          <cell r="AX173" t="str">
            <v>PRECISE TOOL &amp; DIE LIMIT</v>
          </cell>
          <cell r="AY173" t="str">
            <v xml:space="preserve">CA </v>
          </cell>
          <cell r="AZ173">
            <v>11</v>
          </cell>
          <cell r="BB173" t="str">
            <v>AADTD</v>
          </cell>
          <cell r="BC173" t="str">
            <v>AADTD-06.08.2026-(21B3)-EPDC</v>
          </cell>
          <cell r="BE173">
            <v>700</v>
          </cell>
          <cell r="BF173">
            <v>1</v>
          </cell>
          <cell r="BG173">
            <v>0.84020000000000006</v>
          </cell>
          <cell r="BH173">
            <v>5458</v>
          </cell>
          <cell r="BI173">
            <v>5458</v>
          </cell>
          <cell r="BJ173">
            <v>4585.8116</v>
          </cell>
          <cell r="BK173">
            <v>78929</v>
          </cell>
          <cell r="BL173">
            <v>32748</v>
          </cell>
          <cell r="BM173" t="str">
            <v>0</v>
          </cell>
          <cell r="BN173">
            <v>5458</v>
          </cell>
          <cell r="BO173">
            <v>5458</v>
          </cell>
          <cell r="BP173">
            <v>5458</v>
          </cell>
          <cell r="BQ173">
            <v>5458</v>
          </cell>
          <cell r="BR173">
            <v>5458</v>
          </cell>
          <cell r="BS173">
            <v>5458</v>
          </cell>
          <cell r="BT173">
            <v>5458</v>
          </cell>
          <cell r="BU173">
            <v>5458</v>
          </cell>
          <cell r="BV173">
            <v>5458</v>
          </cell>
          <cell r="BW173">
            <v>5458</v>
          </cell>
          <cell r="BX173" t="str">
            <v>FC2B1F2SMH01</v>
          </cell>
          <cell r="BY173" t="str">
            <v>EA</v>
          </cell>
        </row>
        <row r="174">
          <cell r="C174" t="str">
            <v>FC1Z0F2S7V01</v>
          </cell>
          <cell r="D174">
            <v>100</v>
          </cell>
          <cell r="E174" t="str">
            <v>HOSE-A/C FORMED-BARRIER GALAXY 13/32" 48</v>
          </cell>
          <cell r="F174">
            <v>0</v>
          </cell>
          <cell r="G174">
            <v>1000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110</v>
          </cell>
          <cell r="O174">
            <v>0</v>
          </cell>
          <cell r="P174">
            <v>1700</v>
          </cell>
          <cell r="Q174">
            <v>0</v>
          </cell>
          <cell r="R174">
            <v>590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590</v>
          </cell>
          <cell r="AW174">
            <v>5100001667</v>
          </cell>
          <cell r="AX174" t="str">
            <v>CONTITECH NORTH AMERICA,</v>
          </cell>
          <cell r="AY174" t="str">
            <v xml:space="preserve">US </v>
          </cell>
          <cell r="AZ174" t="e">
            <v>#N/A</v>
          </cell>
          <cell r="BB174" t="str">
            <v>AADTD</v>
          </cell>
          <cell r="BC174" t="str">
            <v>AADTD-06.08.2026-(21B3)-JHUB</v>
          </cell>
          <cell r="BE174">
            <v>0</v>
          </cell>
          <cell r="BF174">
            <v>1</v>
          </cell>
          <cell r="BG174">
            <v>2.7280000000000002</v>
          </cell>
          <cell r="BH174">
            <v>1590</v>
          </cell>
          <cell r="BI174">
            <v>1590</v>
          </cell>
          <cell r="BJ174">
            <v>4337.5200000000004</v>
          </cell>
          <cell r="BK174">
            <v>55721</v>
          </cell>
          <cell r="BL174">
            <v>9540</v>
          </cell>
          <cell r="BM174" t="str">
            <v>0</v>
          </cell>
          <cell r="BN174">
            <v>590</v>
          </cell>
          <cell r="BO174">
            <v>590</v>
          </cell>
          <cell r="BP174">
            <v>590</v>
          </cell>
          <cell r="BQ174">
            <v>590</v>
          </cell>
          <cell r="BR174">
            <v>590</v>
          </cell>
          <cell r="BS174">
            <v>590</v>
          </cell>
          <cell r="BT174">
            <v>590</v>
          </cell>
          <cell r="BU174">
            <v>590</v>
          </cell>
          <cell r="BV174">
            <v>590</v>
          </cell>
          <cell r="BW174">
            <v>590</v>
          </cell>
          <cell r="BY174" t="str">
            <v>EA</v>
          </cell>
        </row>
        <row r="175">
          <cell r="C175" t="str">
            <v>VP9L3H-19A593-AA</v>
          </cell>
          <cell r="D175">
            <v>2500</v>
          </cell>
          <cell r="E175" t="str">
            <v>GASKET A/C LINE SEALING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1809</v>
          </cell>
          <cell r="O175">
            <v>0</v>
          </cell>
          <cell r="P175">
            <v>27749</v>
          </cell>
          <cell r="Q175">
            <v>0</v>
          </cell>
          <cell r="R175">
            <v>25940</v>
          </cell>
          <cell r="S175">
            <v>72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37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37</v>
          </cell>
          <cell r="AF175">
            <v>0</v>
          </cell>
          <cell r="AG175">
            <v>0</v>
          </cell>
          <cell r="AH175">
            <v>37</v>
          </cell>
          <cell r="AI175">
            <v>37</v>
          </cell>
          <cell r="AJ175">
            <v>32</v>
          </cell>
          <cell r="AK175">
            <v>0</v>
          </cell>
          <cell r="AL175">
            <v>39</v>
          </cell>
          <cell r="AM175">
            <v>0</v>
          </cell>
          <cell r="AN175">
            <v>0</v>
          </cell>
          <cell r="AO175">
            <v>4</v>
          </cell>
          <cell r="AP175">
            <v>181</v>
          </cell>
          <cell r="AQ175">
            <v>0</v>
          </cell>
          <cell r="AR175">
            <v>0</v>
          </cell>
          <cell r="AS175">
            <v>0</v>
          </cell>
          <cell r="AT175">
            <v>25903</v>
          </cell>
          <cell r="AW175">
            <v>5100001718</v>
          </cell>
          <cell r="AX175" t="str">
            <v>PARKER HANNIFIN CORPORAT</v>
          </cell>
          <cell r="AY175" t="str">
            <v xml:space="preserve">MX </v>
          </cell>
          <cell r="AZ175" t="e">
            <v>#N/A</v>
          </cell>
          <cell r="BB175" t="str">
            <v>AADTD</v>
          </cell>
          <cell r="BC175" t="str">
            <v>AADTD-06.08.2026-(21B3)-EPDC</v>
          </cell>
          <cell r="BE175">
            <v>0</v>
          </cell>
          <cell r="BF175">
            <v>30</v>
          </cell>
          <cell r="BG175">
            <v>0.216</v>
          </cell>
          <cell r="BH175">
            <v>25940</v>
          </cell>
          <cell r="BI175">
            <v>864.66666666666663</v>
          </cell>
          <cell r="BJ175">
            <v>5603.04</v>
          </cell>
          <cell r="BK175">
            <v>51369</v>
          </cell>
          <cell r="BL175">
            <v>5188</v>
          </cell>
          <cell r="BM175" t="str">
            <v>0</v>
          </cell>
          <cell r="BN175">
            <v>25940</v>
          </cell>
          <cell r="BO175">
            <v>25940</v>
          </cell>
          <cell r="BP175">
            <v>25940</v>
          </cell>
          <cell r="BQ175">
            <v>25940</v>
          </cell>
          <cell r="BR175">
            <v>25940</v>
          </cell>
          <cell r="BS175">
            <v>25903</v>
          </cell>
          <cell r="BT175">
            <v>25903</v>
          </cell>
          <cell r="BU175">
            <v>25903</v>
          </cell>
          <cell r="BV175">
            <v>25903</v>
          </cell>
          <cell r="BW175">
            <v>25903</v>
          </cell>
          <cell r="BY175" t="str">
            <v>EA</v>
          </cell>
        </row>
        <row r="176">
          <cell r="C176" t="str">
            <v>YR3H-9911-FA0105AE</v>
          </cell>
          <cell r="D176">
            <v>2000</v>
          </cell>
          <cell r="E176" t="str">
            <v>SLEEVE - NVH INSULATOR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4980</v>
          </cell>
          <cell r="Q176">
            <v>0</v>
          </cell>
          <cell r="R176">
            <v>4980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1</v>
          </cell>
          <cell r="AE176">
            <v>0</v>
          </cell>
          <cell r="AF176">
            <v>0</v>
          </cell>
          <cell r="AG176">
            <v>0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0</v>
          </cell>
          <cell r="AM176">
            <v>1</v>
          </cell>
          <cell r="AN176">
            <v>1</v>
          </cell>
          <cell r="AO176">
            <v>0</v>
          </cell>
          <cell r="AP176">
            <v>2</v>
          </cell>
          <cell r="AQ176">
            <v>0</v>
          </cell>
          <cell r="AR176">
            <v>0</v>
          </cell>
          <cell r="AS176">
            <v>0</v>
          </cell>
          <cell r="AT176">
            <v>4979</v>
          </cell>
          <cell r="AW176">
            <v>5100005267</v>
          </cell>
          <cell r="AX176" t="str">
            <v>COLONIAL DPP LLC</v>
          </cell>
          <cell r="AY176" t="str">
            <v xml:space="preserve">US </v>
          </cell>
          <cell r="AZ176">
            <v>9</v>
          </cell>
          <cell r="BB176" t="str">
            <v>AADTD</v>
          </cell>
          <cell r="BC176" t="str">
            <v>AADTD-06.08.2026-(21B3)-EPDC</v>
          </cell>
          <cell r="BE176">
            <v>0</v>
          </cell>
          <cell r="BF176">
            <v>0.72727272727272729</v>
          </cell>
          <cell r="BG176">
            <v>8.763E-2</v>
          </cell>
          <cell r="BH176">
            <v>4980</v>
          </cell>
          <cell r="BI176">
            <v>6847.5</v>
          </cell>
          <cell r="BJ176">
            <v>436.3974</v>
          </cell>
          <cell r="BK176">
            <v>87266</v>
          </cell>
          <cell r="BL176">
            <v>41085</v>
          </cell>
          <cell r="BM176" t="str">
            <v>0</v>
          </cell>
          <cell r="BN176">
            <v>4980</v>
          </cell>
          <cell r="BO176">
            <v>4980</v>
          </cell>
          <cell r="BP176">
            <v>4980</v>
          </cell>
          <cell r="BQ176">
            <v>4980</v>
          </cell>
          <cell r="BR176">
            <v>4979</v>
          </cell>
          <cell r="BS176">
            <v>4979</v>
          </cell>
          <cell r="BT176">
            <v>4979</v>
          </cell>
          <cell r="BU176">
            <v>4979</v>
          </cell>
          <cell r="BV176">
            <v>4979</v>
          </cell>
          <cell r="BW176">
            <v>4978</v>
          </cell>
          <cell r="BY176" t="str">
            <v>EA</v>
          </cell>
        </row>
        <row r="177">
          <cell r="C177" t="str">
            <v>6L2H-19E889-AB</v>
          </cell>
          <cell r="D177">
            <v>50000</v>
          </cell>
          <cell r="E177" t="str">
            <v>Oring DSL 1/2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492</v>
          </cell>
          <cell r="N177">
            <v>169508</v>
          </cell>
          <cell r="O177">
            <v>0</v>
          </cell>
          <cell r="P177">
            <v>15492</v>
          </cell>
          <cell r="Q177">
            <v>0</v>
          </cell>
          <cell r="R177">
            <v>15000</v>
          </cell>
          <cell r="S177">
            <v>0</v>
          </cell>
          <cell r="T177">
            <v>0</v>
          </cell>
          <cell r="U177">
            <v>2</v>
          </cell>
          <cell r="V177">
            <v>2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4</v>
          </cell>
          <cell r="AI177">
            <v>0</v>
          </cell>
          <cell r="AJ177">
            <v>0</v>
          </cell>
          <cell r="AK177">
            <v>0</v>
          </cell>
          <cell r="AL177">
            <v>3</v>
          </cell>
          <cell r="AM177">
            <v>0</v>
          </cell>
          <cell r="AN177">
            <v>1</v>
          </cell>
          <cell r="AO177">
            <v>3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15000</v>
          </cell>
          <cell r="AW177">
            <v>5100001749</v>
          </cell>
          <cell r="AX177" t="str">
            <v>TRELLEBORG SEALING SOLUT</v>
          </cell>
          <cell r="AY177" t="str">
            <v xml:space="preserve">US </v>
          </cell>
          <cell r="AZ177">
            <v>9</v>
          </cell>
          <cell r="BB177" t="str">
            <v>AADTD</v>
          </cell>
          <cell r="BC177" t="str">
            <v>AADTD-06.08.2026-(21B3)-EPDC</v>
          </cell>
          <cell r="BE177">
            <v>170000</v>
          </cell>
          <cell r="BF177">
            <v>1</v>
          </cell>
          <cell r="BG177">
            <v>8.6099999999999996E-2</v>
          </cell>
          <cell r="BH177">
            <v>15000</v>
          </cell>
          <cell r="BI177">
            <v>15000</v>
          </cell>
          <cell r="BJ177">
            <v>1291.5</v>
          </cell>
          <cell r="BK177">
            <v>136181</v>
          </cell>
          <cell r="BL177">
            <v>90000</v>
          </cell>
          <cell r="BM177" t="str">
            <v>0</v>
          </cell>
          <cell r="BN177">
            <v>15000</v>
          </cell>
          <cell r="BO177">
            <v>15000</v>
          </cell>
          <cell r="BP177">
            <v>14998</v>
          </cell>
          <cell r="BQ177">
            <v>14996</v>
          </cell>
          <cell r="BR177">
            <v>14996</v>
          </cell>
          <cell r="BS177">
            <v>14996</v>
          </cell>
          <cell r="BT177">
            <v>14996</v>
          </cell>
          <cell r="BU177">
            <v>14996</v>
          </cell>
          <cell r="BV177">
            <v>14996</v>
          </cell>
          <cell r="BW177">
            <v>14996</v>
          </cell>
          <cell r="BY177" t="str">
            <v>EA</v>
          </cell>
        </row>
        <row r="178">
          <cell r="C178" t="str">
            <v>FC2G0F2S5Y01</v>
          </cell>
          <cell r="D178">
            <v>5000</v>
          </cell>
          <cell r="E178" t="str">
            <v>LABEL-A/C LABEL -  A/C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8999</v>
          </cell>
          <cell r="N178">
            <v>6001</v>
          </cell>
          <cell r="O178">
            <v>0</v>
          </cell>
          <cell r="P178">
            <v>24499</v>
          </cell>
          <cell r="Q178">
            <v>0</v>
          </cell>
          <cell r="R178">
            <v>15500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4</v>
          </cell>
          <cell r="AR178">
            <v>4</v>
          </cell>
          <cell r="AS178">
            <v>3</v>
          </cell>
          <cell r="AT178">
            <v>15500</v>
          </cell>
          <cell r="AW178">
            <v>5100001743</v>
          </cell>
          <cell r="AX178" t="str">
            <v>GENERAL LABELS AND PRINT</v>
          </cell>
          <cell r="AY178" t="str">
            <v xml:space="preserve">US </v>
          </cell>
          <cell r="AZ178">
            <v>9</v>
          </cell>
          <cell r="BB178" t="str">
            <v>AADTD</v>
          </cell>
          <cell r="BC178" t="str">
            <v>AADTD-06.08.2026-(21B3)-EPDC</v>
          </cell>
          <cell r="BE178">
            <v>15000</v>
          </cell>
          <cell r="BF178">
            <v>0.72727272727272729</v>
          </cell>
          <cell r="BG178">
            <v>5.7579999999999999E-2</v>
          </cell>
          <cell r="BH178">
            <v>15500</v>
          </cell>
          <cell r="BI178">
            <v>21312.5</v>
          </cell>
          <cell r="BJ178">
            <v>892.49</v>
          </cell>
          <cell r="BK178">
            <v>174056</v>
          </cell>
          <cell r="BL178">
            <v>127875</v>
          </cell>
          <cell r="BM178" t="str">
            <v>0</v>
          </cell>
          <cell r="BN178">
            <v>15500</v>
          </cell>
          <cell r="BO178">
            <v>15500</v>
          </cell>
          <cell r="BP178">
            <v>15500</v>
          </cell>
          <cell r="BQ178">
            <v>15500</v>
          </cell>
          <cell r="BR178">
            <v>15500</v>
          </cell>
          <cell r="BS178">
            <v>15500</v>
          </cell>
          <cell r="BT178">
            <v>15500</v>
          </cell>
          <cell r="BU178">
            <v>15500</v>
          </cell>
          <cell r="BV178">
            <v>15500</v>
          </cell>
          <cell r="BW178">
            <v>15500</v>
          </cell>
          <cell r="BY178" t="str">
            <v>EA</v>
          </cell>
        </row>
        <row r="179">
          <cell r="C179" t="str">
            <v>RMTP00017</v>
          </cell>
          <cell r="D179">
            <v>45</v>
          </cell>
          <cell r="E179" t="str">
            <v>ADHESIVE TAPE Abrasion tape PET</v>
          </cell>
          <cell r="F179">
            <v>54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6.0000000000000001E-3</v>
          </cell>
          <cell r="O179">
            <v>0</v>
          </cell>
          <cell r="P179">
            <v>1800.0060000000001</v>
          </cell>
          <cell r="Q179">
            <v>0</v>
          </cell>
          <cell r="R179">
            <v>1746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1746</v>
          </cell>
          <cell r="AW179">
            <v>5100002172</v>
          </cell>
          <cell r="AX179" t="str">
            <v>GENERAL LABELS AND PRINT</v>
          </cell>
          <cell r="AY179" t="str">
            <v xml:space="preserve">DE </v>
          </cell>
          <cell r="AZ179" t="e">
            <v>#N/A</v>
          </cell>
          <cell r="BB179" t="str">
            <v>AADTD</v>
          </cell>
          <cell r="BC179" t="str">
            <v>AADTD-06.08.2026-(21B3)-EPDC</v>
          </cell>
          <cell r="BE179">
            <v>0</v>
          </cell>
          <cell r="BF179">
            <v>1</v>
          </cell>
          <cell r="BG179">
            <v>9.300000000000001E-3</v>
          </cell>
          <cell r="BH179">
            <v>1800</v>
          </cell>
          <cell r="BI179">
            <v>1800</v>
          </cell>
          <cell r="BJ179">
            <v>16.740000000000002</v>
          </cell>
          <cell r="BK179">
            <v>56981</v>
          </cell>
          <cell r="BL179">
            <v>10800</v>
          </cell>
          <cell r="BM179" t="str">
            <v>0</v>
          </cell>
          <cell r="BN179">
            <v>1746</v>
          </cell>
          <cell r="BO179">
            <v>1746</v>
          </cell>
          <cell r="BP179">
            <v>1746</v>
          </cell>
          <cell r="BQ179">
            <v>1746</v>
          </cell>
          <cell r="BR179">
            <v>1746</v>
          </cell>
          <cell r="BS179">
            <v>1746</v>
          </cell>
          <cell r="BT179">
            <v>1746</v>
          </cell>
          <cell r="BU179">
            <v>1746</v>
          </cell>
          <cell r="BV179">
            <v>1746</v>
          </cell>
          <cell r="BW179">
            <v>1746</v>
          </cell>
          <cell r="BY179" t="str">
            <v>KG</v>
          </cell>
        </row>
        <row r="180">
          <cell r="C180" t="str">
            <v>FC2B2F2SLG01</v>
          </cell>
          <cell r="D180">
            <v>2000</v>
          </cell>
          <cell r="E180" t="str">
            <v>BRKT/CLIP-PLASTIC CLIP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352</v>
          </cell>
          <cell r="N180">
            <v>2648</v>
          </cell>
          <cell r="O180">
            <v>0</v>
          </cell>
          <cell r="P180">
            <v>4352</v>
          </cell>
          <cell r="Q180">
            <v>0</v>
          </cell>
          <cell r="R180">
            <v>4000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2</v>
          </cell>
          <cell r="AR180">
            <v>0</v>
          </cell>
          <cell r="AS180">
            <v>4</v>
          </cell>
          <cell r="AT180">
            <v>4000</v>
          </cell>
          <cell r="AV180" t="str">
            <v>Servicios</v>
          </cell>
          <cell r="AW180">
            <v>5100002070</v>
          </cell>
          <cell r="AX180" t="str">
            <v>HELLERMANN TYTON CORPORA</v>
          </cell>
          <cell r="AY180" t="str">
            <v xml:space="preserve">US </v>
          </cell>
          <cell r="AZ180">
            <v>9</v>
          </cell>
          <cell r="BB180" t="str">
            <v>AADTD</v>
          </cell>
          <cell r="BC180" t="str">
            <v>AADTD-06.08.2026-(21B3)-EPDC</v>
          </cell>
          <cell r="BE180">
            <v>3000</v>
          </cell>
          <cell r="BF180">
            <v>0.18181818181818182</v>
          </cell>
          <cell r="BG180">
            <v>0.29199999999999998</v>
          </cell>
          <cell r="BH180">
            <v>4000</v>
          </cell>
          <cell r="BI180">
            <v>22000</v>
          </cell>
          <cell r="BJ180">
            <v>1168</v>
          </cell>
          <cell r="BK180">
            <v>178181</v>
          </cell>
          <cell r="BL180">
            <v>132000</v>
          </cell>
          <cell r="BM180" t="str">
            <v>0</v>
          </cell>
          <cell r="BN180">
            <v>4000</v>
          </cell>
          <cell r="BO180">
            <v>4000</v>
          </cell>
          <cell r="BP180">
            <v>4000</v>
          </cell>
          <cell r="BQ180">
            <v>4000</v>
          </cell>
          <cell r="BR180">
            <v>4000</v>
          </cell>
          <cell r="BS180">
            <v>4000</v>
          </cell>
          <cell r="BT180">
            <v>4000</v>
          </cell>
          <cell r="BU180">
            <v>4000</v>
          </cell>
          <cell r="BV180">
            <v>4000</v>
          </cell>
          <cell r="BW180">
            <v>4000</v>
          </cell>
          <cell r="BY180" t="str">
            <v>EA</v>
          </cell>
        </row>
        <row r="181">
          <cell r="C181" t="str">
            <v>FC2B2F2SSC01</v>
          </cell>
          <cell r="D181">
            <v>1500</v>
          </cell>
          <cell r="E181" t="str">
            <v>BRKT/CLIP-PLASTIC CLIP</v>
          </cell>
          <cell r="F181">
            <v>0</v>
          </cell>
          <cell r="G181">
            <v>0</v>
          </cell>
          <cell r="I181">
            <v>0</v>
          </cell>
          <cell r="M181">
            <v>1452</v>
          </cell>
          <cell r="N181">
            <v>5548</v>
          </cell>
          <cell r="O181">
            <v>0</v>
          </cell>
          <cell r="Q181">
            <v>0</v>
          </cell>
          <cell r="R181">
            <v>4500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2</v>
          </cell>
          <cell r="AR181">
            <v>0</v>
          </cell>
          <cell r="AS181">
            <v>4</v>
          </cell>
          <cell r="AT181">
            <v>4500</v>
          </cell>
          <cell r="AW181">
            <v>5100002070</v>
          </cell>
          <cell r="AX181" t="str">
            <v>HELLERMANN TYTON CORPORA</v>
          </cell>
          <cell r="AY181" t="str">
            <v xml:space="preserve">US </v>
          </cell>
          <cell r="AZ181">
            <v>9</v>
          </cell>
          <cell r="BB181" t="str">
            <v>AADTD</v>
          </cell>
          <cell r="BC181" t="str">
            <v>AADTD-06.08.2026-(21B3)-EPDC</v>
          </cell>
          <cell r="BD181">
            <v>2520</v>
          </cell>
          <cell r="BE181">
            <v>7000</v>
          </cell>
          <cell r="BF181">
            <v>0.18181818181818182</v>
          </cell>
          <cell r="BG181">
            <v>0.1119</v>
          </cell>
          <cell r="BH181">
            <v>4500</v>
          </cell>
          <cell r="BI181">
            <v>24750</v>
          </cell>
          <cell r="BJ181">
            <v>503.55</v>
          </cell>
          <cell r="BK181">
            <v>194681</v>
          </cell>
          <cell r="BL181">
            <v>148500</v>
          </cell>
          <cell r="BM181" t="str">
            <v>0</v>
          </cell>
          <cell r="BN181">
            <v>4500</v>
          </cell>
          <cell r="BO181">
            <v>4500</v>
          </cell>
          <cell r="BP181">
            <v>4500</v>
          </cell>
          <cell r="BQ181">
            <v>4500</v>
          </cell>
          <cell r="BR181">
            <v>4500</v>
          </cell>
          <cell r="BS181">
            <v>4500</v>
          </cell>
          <cell r="BT181">
            <v>4500</v>
          </cell>
          <cell r="BU181">
            <v>4500</v>
          </cell>
          <cell r="BV181">
            <v>4500</v>
          </cell>
          <cell r="BW181">
            <v>4500</v>
          </cell>
          <cell r="BX181" t="str">
            <v>FC2B2F2SSC01</v>
          </cell>
          <cell r="BY181" t="str">
            <v>EA</v>
          </cell>
        </row>
        <row r="182">
          <cell r="C182" t="str">
            <v>VPJL3H-048B60-DA</v>
          </cell>
          <cell r="D182">
            <v>5000</v>
          </cell>
          <cell r="E182" t="str">
            <v>Label - A/C 3M 7874 Thermal Polyeste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5014</v>
          </cell>
          <cell r="N182">
            <v>-5014</v>
          </cell>
          <cell r="O182">
            <v>0</v>
          </cell>
          <cell r="P182">
            <v>14964</v>
          </cell>
          <cell r="Q182">
            <v>0</v>
          </cell>
          <cell r="R182">
            <v>9950</v>
          </cell>
          <cell r="S182">
            <v>8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1</v>
          </cell>
          <cell r="AP182">
            <v>2</v>
          </cell>
          <cell r="AQ182">
            <v>1</v>
          </cell>
          <cell r="AR182">
            <v>0</v>
          </cell>
          <cell r="AS182">
            <v>0</v>
          </cell>
          <cell r="AT182">
            <v>9950</v>
          </cell>
          <cell r="AV182" t="str">
            <v>Cambiar el safety stock en Mayo 2026</v>
          </cell>
          <cell r="AW182">
            <v>5100001743</v>
          </cell>
          <cell r="AX182" t="str">
            <v>GENERAL LABELS AND PRINT</v>
          </cell>
          <cell r="AY182" t="str">
            <v xml:space="preserve">US </v>
          </cell>
          <cell r="AZ182">
            <v>9</v>
          </cell>
          <cell r="BB182" t="str">
            <v>AADTD</v>
          </cell>
          <cell r="BC182" t="str">
            <v>AADTD-06.08.2026-(21B3)-EPDC</v>
          </cell>
          <cell r="BE182">
            <v>0</v>
          </cell>
          <cell r="BF182">
            <v>0.36363636363636365</v>
          </cell>
          <cell r="BG182">
            <v>8.9760000000000006E-2</v>
          </cell>
          <cell r="BH182">
            <v>9950</v>
          </cell>
          <cell r="BI182">
            <v>27362.5</v>
          </cell>
          <cell r="BJ182">
            <v>893.11200000000008</v>
          </cell>
          <cell r="BK182">
            <v>210356</v>
          </cell>
          <cell r="BL182">
            <v>164175</v>
          </cell>
          <cell r="BM182" t="str">
            <v>0</v>
          </cell>
          <cell r="BN182">
            <v>9950</v>
          </cell>
          <cell r="BO182">
            <v>9950</v>
          </cell>
          <cell r="BP182">
            <v>9950</v>
          </cell>
          <cell r="BQ182">
            <v>9950</v>
          </cell>
          <cell r="BR182">
            <v>9950</v>
          </cell>
          <cell r="BS182">
            <v>9950</v>
          </cell>
          <cell r="BT182">
            <v>9950</v>
          </cell>
          <cell r="BU182">
            <v>9950</v>
          </cell>
          <cell r="BV182">
            <v>9950</v>
          </cell>
          <cell r="BW182">
            <v>9950</v>
          </cell>
          <cell r="BY182" t="str">
            <v>EA</v>
          </cell>
        </row>
        <row r="183">
          <cell r="C183" t="str">
            <v>VPAR3H-19C674-BA</v>
          </cell>
          <cell r="D183">
            <v>1000</v>
          </cell>
          <cell r="E183" t="str">
            <v>INS ASY-A/C MTNG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117</v>
          </cell>
          <cell r="O183">
            <v>0</v>
          </cell>
          <cell r="P183">
            <v>1297</v>
          </cell>
          <cell r="Q183">
            <v>0</v>
          </cell>
          <cell r="R183">
            <v>1180</v>
          </cell>
          <cell r="S183">
            <v>26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3</v>
          </cell>
          <cell r="AM183">
            <v>0</v>
          </cell>
          <cell r="AN183">
            <v>7</v>
          </cell>
          <cell r="AO183">
            <v>0</v>
          </cell>
          <cell r="AP183">
            <v>0</v>
          </cell>
          <cell r="AQ183">
            <v>0</v>
          </cell>
          <cell r="AR183">
            <v>1</v>
          </cell>
          <cell r="AS183">
            <v>0</v>
          </cell>
          <cell r="AT183">
            <v>1180</v>
          </cell>
          <cell r="AW183">
            <v>5100001718</v>
          </cell>
          <cell r="AX183" t="str">
            <v>DATWYLER SEALING SOLUTIO</v>
          </cell>
          <cell r="AY183" t="str">
            <v xml:space="preserve">MX </v>
          </cell>
          <cell r="AZ183" t="e">
            <v>#N/A</v>
          </cell>
          <cell r="BB183" t="str">
            <v>AADTD</v>
          </cell>
          <cell r="BC183" t="str">
            <v>AADTD-06.08.2026-(21B3)-EPDC</v>
          </cell>
          <cell r="BE183">
            <v>0</v>
          </cell>
          <cell r="BF183">
            <v>1</v>
          </cell>
          <cell r="BG183">
            <v>0.49839999999999995</v>
          </cell>
          <cell r="BH183">
            <v>1180</v>
          </cell>
          <cell r="BI183">
            <v>1180</v>
          </cell>
          <cell r="BJ183">
            <v>588.11199999999997</v>
          </cell>
          <cell r="BK183">
            <v>53261</v>
          </cell>
          <cell r="BL183">
            <v>7080</v>
          </cell>
          <cell r="BM183" t="str">
            <v>0</v>
          </cell>
          <cell r="BN183">
            <v>1180</v>
          </cell>
          <cell r="BO183">
            <v>1180</v>
          </cell>
          <cell r="BP183">
            <v>1180</v>
          </cell>
          <cell r="BQ183">
            <v>1180</v>
          </cell>
          <cell r="BR183">
            <v>1180</v>
          </cell>
          <cell r="BS183">
            <v>1180</v>
          </cell>
          <cell r="BT183">
            <v>1180</v>
          </cell>
          <cell r="BU183">
            <v>1180</v>
          </cell>
          <cell r="BV183">
            <v>1180</v>
          </cell>
          <cell r="BW183">
            <v>1180</v>
          </cell>
          <cell r="BY183" t="str">
            <v>EA</v>
          </cell>
        </row>
        <row r="184">
          <cell r="C184" t="str">
            <v>FC2C5F2S6T02</v>
          </cell>
          <cell r="D184">
            <v>500</v>
          </cell>
          <cell r="E184" t="str">
            <v>GROMMET-A/C TUBE BRKT</v>
          </cell>
          <cell r="F184">
            <v>0</v>
          </cell>
          <cell r="G184">
            <v>4000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1346</v>
          </cell>
          <cell r="N184">
            <v>3654</v>
          </cell>
          <cell r="O184">
            <v>0</v>
          </cell>
          <cell r="P184">
            <v>7746</v>
          </cell>
          <cell r="Q184">
            <v>0</v>
          </cell>
          <cell r="R184">
            <v>2400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2</v>
          </cell>
          <cell r="AR184">
            <v>0</v>
          </cell>
          <cell r="AS184">
            <v>4</v>
          </cell>
          <cell r="AT184">
            <v>2400</v>
          </cell>
          <cell r="AW184">
            <v>5100001970</v>
          </cell>
          <cell r="AX184" t="str">
            <v>SINCLAIR &amp; RUSH, INC.</v>
          </cell>
          <cell r="AY184" t="str">
            <v xml:space="preserve">US </v>
          </cell>
          <cell r="AZ184">
            <v>9</v>
          </cell>
          <cell r="BB184" t="str">
            <v>AADTD</v>
          </cell>
          <cell r="BC184" t="str">
            <v>AADTD-06.08.2026-(21B3)-JHUB</v>
          </cell>
          <cell r="BE184">
            <v>5000</v>
          </cell>
          <cell r="BF184">
            <v>0.18181818181818182</v>
          </cell>
          <cell r="BG184">
            <v>0.3503</v>
          </cell>
          <cell r="BH184">
            <v>6400</v>
          </cell>
          <cell r="BI184">
            <v>35200</v>
          </cell>
          <cell r="BJ184">
            <v>2241.92</v>
          </cell>
          <cell r="BK184">
            <v>257381</v>
          </cell>
          <cell r="BL184">
            <v>211200</v>
          </cell>
          <cell r="BM184" t="str">
            <v>0</v>
          </cell>
          <cell r="BN184">
            <v>2400</v>
          </cell>
          <cell r="BO184">
            <v>2400</v>
          </cell>
          <cell r="BP184">
            <v>2400</v>
          </cell>
          <cell r="BQ184">
            <v>2400</v>
          </cell>
          <cell r="BR184">
            <v>2400</v>
          </cell>
          <cell r="BS184">
            <v>2400</v>
          </cell>
          <cell r="BT184">
            <v>2400</v>
          </cell>
          <cell r="BU184">
            <v>2400</v>
          </cell>
          <cell r="BV184">
            <v>2400</v>
          </cell>
          <cell r="BW184">
            <v>2400</v>
          </cell>
          <cell r="BX184" t="str">
            <v>FC2C5F2S6T02</v>
          </cell>
          <cell r="BY184" t="str">
            <v>EA</v>
          </cell>
        </row>
        <row r="185">
          <cell r="C185" t="str">
            <v>YR3H-9911-DA0060AA</v>
          </cell>
          <cell r="D185">
            <v>2000</v>
          </cell>
          <cell r="E185" t="str">
            <v>INSULATOR A/C TUBE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46</v>
          </cell>
          <cell r="O185">
            <v>0</v>
          </cell>
          <cell r="P185">
            <v>21601</v>
          </cell>
          <cell r="Q185">
            <v>0</v>
          </cell>
          <cell r="R185">
            <v>21555</v>
          </cell>
          <cell r="S185">
            <v>16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5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1</v>
          </cell>
          <cell r="AR185">
            <v>3</v>
          </cell>
          <cell r="AS185">
            <v>0</v>
          </cell>
          <cell r="AT185">
            <v>21555</v>
          </cell>
          <cell r="AW185">
            <v>5100001898</v>
          </cell>
          <cell r="AX185" t="str">
            <v>COLONIAL DPP LLC</v>
          </cell>
          <cell r="AY185" t="str">
            <v xml:space="preserve">US </v>
          </cell>
          <cell r="AZ185" t="e">
            <v>#N/A</v>
          </cell>
          <cell r="BB185" t="str">
            <v>AADTD</v>
          </cell>
          <cell r="BC185" t="str">
            <v>AADTD-06.08.2026-(21B3)-EPDC</v>
          </cell>
          <cell r="BE185">
            <v>0</v>
          </cell>
          <cell r="BF185">
            <v>0.81818181818181823</v>
          </cell>
          <cell r="BG185">
            <v>0.19</v>
          </cell>
          <cell r="BH185">
            <v>21555</v>
          </cell>
          <cell r="BI185">
            <v>26345</v>
          </cell>
          <cell r="BJ185">
            <v>4095.4500000000003</v>
          </cell>
          <cell r="BK185">
            <v>204251</v>
          </cell>
          <cell r="BL185">
            <v>158070</v>
          </cell>
          <cell r="BM185" t="str">
            <v>0</v>
          </cell>
          <cell r="BN185">
            <v>21555</v>
          </cell>
          <cell r="BO185">
            <v>21555</v>
          </cell>
          <cell r="BP185">
            <v>21555</v>
          </cell>
          <cell r="BQ185">
            <v>21555</v>
          </cell>
          <cell r="BR185">
            <v>21555</v>
          </cell>
          <cell r="BS185">
            <v>21555</v>
          </cell>
          <cell r="BT185">
            <v>21555</v>
          </cell>
          <cell r="BU185">
            <v>21555</v>
          </cell>
          <cell r="BV185">
            <v>21555</v>
          </cell>
          <cell r="BW185">
            <v>21555</v>
          </cell>
          <cell r="BY185" t="str">
            <v>EA</v>
          </cell>
        </row>
        <row r="186">
          <cell r="C186" t="str">
            <v>FC2B2F2SAY01</v>
          </cell>
          <cell r="D186">
            <v>2000</v>
          </cell>
          <cell r="E186" t="str">
            <v>BRKT/CLIP-PLASTIC CLIP</v>
          </cell>
          <cell r="F186">
            <v>0</v>
          </cell>
          <cell r="G186">
            <v>2000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2</v>
          </cell>
          <cell r="N186">
            <v>6998</v>
          </cell>
          <cell r="O186">
            <v>0</v>
          </cell>
          <cell r="P186">
            <v>8752</v>
          </cell>
          <cell r="Q186">
            <v>0</v>
          </cell>
          <cell r="R186">
            <v>6750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2</v>
          </cell>
          <cell r="AR186">
            <v>0</v>
          </cell>
          <cell r="AS186">
            <v>4</v>
          </cell>
          <cell r="AT186">
            <v>6750</v>
          </cell>
          <cell r="AW186">
            <v>5100002070</v>
          </cell>
          <cell r="AX186" t="str">
            <v>HELLERMANN TYTON CORPORA</v>
          </cell>
          <cell r="AY186" t="str">
            <v xml:space="preserve">US </v>
          </cell>
          <cell r="AZ186">
            <v>9</v>
          </cell>
          <cell r="BB186" t="str">
            <v>AADTD</v>
          </cell>
          <cell r="BC186" t="str">
            <v>AADTD-06.08.2026-(21B3)-JHUB</v>
          </cell>
          <cell r="BD186">
            <v>6750</v>
          </cell>
          <cell r="BE186">
            <v>7000</v>
          </cell>
          <cell r="BF186">
            <v>0.18181818181818182</v>
          </cell>
          <cell r="BG186">
            <v>0.21</v>
          </cell>
          <cell r="BH186">
            <v>8750</v>
          </cell>
          <cell r="BI186">
            <v>48125</v>
          </cell>
          <cell r="BJ186">
            <v>1837.5</v>
          </cell>
          <cell r="BK186">
            <v>334931</v>
          </cell>
          <cell r="BL186">
            <v>288750</v>
          </cell>
          <cell r="BM186" t="str">
            <v>0</v>
          </cell>
          <cell r="BN186">
            <v>6750</v>
          </cell>
          <cell r="BO186">
            <v>6750</v>
          </cell>
          <cell r="BP186">
            <v>6750</v>
          </cell>
          <cell r="BQ186">
            <v>6750</v>
          </cell>
          <cell r="BR186">
            <v>6750</v>
          </cell>
          <cell r="BS186">
            <v>6750</v>
          </cell>
          <cell r="BT186">
            <v>6750</v>
          </cell>
          <cell r="BU186">
            <v>6750</v>
          </cell>
          <cell r="BV186">
            <v>6750</v>
          </cell>
          <cell r="BW186">
            <v>6750</v>
          </cell>
          <cell r="BY186" t="str">
            <v>EA</v>
          </cell>
        </row>
        <row r="187">
          <cell r="C187" t="str">
            <v>FC2B1F2STA02</v>
          </cell>
          <cell r="D187">
            <v>100</v>
          </cell>
          <cell r="E187" t="str">
            <v>BRKT/CLIP-A/C LINE</v>
          </cell>
          <cell r="F187">
            <v>0</v>
          </cell>
          <cell r="G187">
            <v>6800</v>
          </cell>
          <cell r="I187">
            <v>0</v>
          </cell>
          <cell r="M187">
            <v>-79</v>
          </cell>
          <cell r="N187">
            <v>4079</v>
          </cell>
          <cell r="O187">
            <v>0</v>
          </cell>
          <cell r="Q187">
            <v>0</v>
          </cell>
          <cell r="R187">
            <v>2300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2</v>
          </cell>
          <cell r="AR187">
            <v>0</v>
          </cell>
          <cell r="AS187">
            <v>4</v>
          </cell>
          <cell r="AT187">
            <v>2300</v>
          </cell>
          <cell r="AV187" t="str">
            <v xml:space="preserve">servicio </v>
          </cell>
          <cell r="AW187">
            <v>5100001774</v>
          </cell>
          <cell r="AX187" t="str">
            <v>PRECISE TOOL &amp; DIE LIMIT</v>
          </cell>
          <cell r="AY187" t="str">
            <v xml:space="preserve">CA </v>
          </cell>
          <cell r="AZ187">
            <v>11</v>
          </cell>
          <cell r="BB187" t="str">
            <v>AADTD</v>
          </cell>
          <cell r="BC187" t="str">
            <v>AADTD-06.08.2026-(21B3)-JHUB</v>
          </cell>
          <cell r="BE187">
            <v>4000</v>
          </cell>
          <cell r="BF187">
            <v>0.18181818181818182</v>
          </cell>
          <cell r="BG187">
            <v>0.86399999999999999</v>
          </cell>
          <cell r="BH187">
            <v>9100</v>
          </cell>
          <cell r="BI187">
            <v>50050</v>
          </cell>
          <cell r="BJ187">
            <v>7862.4</v>
          </cell>
          <cell r="BK187">
            <v>346481</v>
          </cell>
          <cell r="BL187">
            <v>300300</v>
          </cell>
          <cell r="BM187" t="str">
            <v>0</v>
          </cell>
          <cell r="BN187">
            <v>2300</v>
          </cell>
          <cell r="BO187">
            <v>2300</v>
          </cell>
          <cell r="BP187">
            <v>2300</v>
          </cell>
          <cell r="BQ187">
            <v>2300</v>
          </cell>
          <cell r="BR187">
            <v>2300</v>
          </cell>
          <cell r="BS187">
            <v>2300</v>
          </cell>
          <cell r="BT187">
            <v>2300</v>
          </cell>
          <cell r="BU187">
            <v>2300</v>
          </cell>
          <cell r="BV187">
            <v>2300</v>
          </cell>
          <cell r="BW187">
            <v>2300</v>
          </cell>
          <cell r="BX187" t="str">
            <v>FC2B1F2STA02</v>
          </cell>
          <cell r="BY187" t="str">
            <v>EA</v>
          </cell>
        </row>
        <row r="188">
          <cell r="C188" t="str">
            <v>FC2G0F2SBG01</v>
          </cell>
          <cell r="D188">
            <v>3000</v>
          </cell>
          <cell r="E188" t="str">
            <v>LABEL-A/C Label - A/C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10748</v>
          </cell>
          <cell r="N188">
            <v>9252</v>
          </cell>
          <cell r="O188">
            <v>0</v>
          </cell>
          <cell r="P188">
            <v>22898</v>
          </cell>
          <cell r="Q188">
            <v>0</v>
          </cell>
          <cell r="R188">
            <v>12150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12150</v>
          </cell>
          <cell r="AW188">
            <v>5100001743</v>
          </cell>
          <cell r="AX188" t="str">
            <v>GENERAL LABELS AND PRINT</v>
          </cell>
          <cell r="AY188" t="str">
            <v xml:space="preserve">US </v>
          </cell>
          <cell r="AZ188">
            <v>9</v>
          </cell>
          <cell r="BB188" t="str">
            <v>AADTD</v>
          </cell>
          <cell r="BC188" t="str">
            <v>AADTD-06.08.2026-(21B3)-EPDC</v>
          </cell>
          <cell r="BE188">
            <v>20000</v>
          </cell>
          <cell r="BF188">
            <v>0</v>
          </cell>
          <cell r="BG188">
            <v>0.14968999999999999</v>
          </cell>
          <cell r="BH188">
            <v>12150</v>
          </cell>
          <cell r="BI188" t="e">
            <v>#DIV/0!</v>
          </cell>
          <cell r="BJ188">
            <v>1818.7334999999998</v>
          </cell>
          <cell r="BK188" t="e">
            <v>#DIV/0!</v>
          </cell>
          <cell r="BL188" t="e">
            <v>#DIV/0!</v>
          </cell>
          <cell r="BM188" t="str">
            <v>0</v>
          </cell>
          <cell r="BN188">
            <v>12150</v>
          </cell>
          <cell r="BO188">
            <v>12150</v>
          </cell>
          <cell r="BP188">
            <v>12150</v>
          </cell>
          <cell r="BQ188">
            <v>12150</v>
          </cell>
          <cell r="BR188">
            <v>12150</v>
          </cell>
          <cell r="BS188">
            <v>12150</v>
          </cell>
          <cell r="BT188">
            <v>12150</v>
          </cell>
          <cell r="BU188">
            <v>12150</v>
          </cell>
          <cell r="BV188">
            <v>12150</v>
          </cell>
          <cell r="BW188">
            <v>12150</v>
          </cell>
          <cell r="BY188" t="str">
            <v>EA</v>
          </cell>
        </row>
        <row r="189">
          <cell r="C189" t="str">
            <v>VPAR3H-19A593-AA</v>
          </cell>
          <cell r="D189">
            <v>5000</v>
          </cell>
          <cell r="E189" t="str">
            <v>GASKET A/C LINE SEALING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939</v>
          </cell>
          <cell r="O189">
            <v>0</v>
          </cell>
          <cell r="P189">
            <v>94600</v>
          </cell>
          <cell r="Q189">
            <v>0</v>
          </cell>
          <cell r="R189">
            <v>93661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32</v>
          </cell>
          <cell r="AK189">
            <v>1</v>
          </cell>
          <cell r="AL189">
            <v>35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88</v>
          </cell>
          <cell r="AR189">
            <v>0</v>
          </cell>
          <cell r="AS189">
            <v>0</v>
          </cell>
          <cell r="AT189">
            <v>93661</v>
          </cell>
          <cell r="AW189">
            <v>5100001718</v>
          </cell>
          <cell r="AX189" t="str">
            <v>PARKER HANNIFIN CORPORAT</v>
          </cell>
          <cell r="AY189" t="str">
            <v xml:space="preserve">MX </v>
          </cell>
          <cell r="AZ189" t="e">
            <v>#N/A</v>
          </cell>
          <cell r="BB189" t="str">
            <v>AADTD</v>
          </cell>
          <cell r="BC189" t="str">
            <v>AADTD-06.08.2026-(21B3)-EPDC</v>
          </cell>
          <cell r="BE189">
            <v>0</v>
          </cell>
          <cell r="BF189">
            <v>14.181818181818182</v>
          </cell>
          <cell r="BG189">
            <v>0.16209999999999999</v>
          </cell>
          <cell r="BH189">
            <v>93661</v>
          </cell>
          <cell r="BI189">
            <v>6604.3012820512822</v>
          </cell>
          <cell r="BJ189">
            <v>15182.4481</v>
          </cell>
          <cell r="BK189">
            <v>85806.807692307688</v>
          </cell>
          <cell r="BL189">
            <v>39625.807692307695</v>
          </cell>
          <cell r="BM189" t="str">
            <v>0</v>
          </cell>
          <cell r="BN189">
            <v>93661</v>
          </cell>
          <cell r="BO189">
            <v>93661</v>
          </cell>
          <cell r="BP189">
            <v>93661</v>
          </cell>
          <cell r="BQ189">
            <v>93661</v>
          </cell>
          <cell r="BR189">
            <v>93661</v>
          </cell>
          <cell r="BS189">
            <v>93661</v>
          </cell>
          <cell r="BT189">
            <v>93661</v>
          </cell>
          <cell r="BU189">
            <v>93661</v>
          </cell>
          <cell r="BV189">
            <v>93661</v>
          </cell>
          <cell r="BW189">
            <v>93661</v>
          </cell>
          <cell r="BY189" t="str">
            <v>EA</v>
          </cell>
        </row>
        <row r="190">
          <cell r="C190" t="str">
            <v>FC1Z0F2SBF03</v>
          </cell>
          <cell r="D190">
            <v>100</v>
          </cell>
          <cell r="E190" t="str">
            <v>HOSE-A/C FORMED-BARRIER GALAXY 3/4 4868</v>
          </cell>
          <cell r="F190">
            <v>0</v>
          </cell>
          <cell r="G190">
            <v>100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50</v>
          </cell>
          <cell r="N190">
            <v>-50</v>
          </cell>
          <cell r="O190">
            <v>0</v>
          </cell>
          <cell r="P190">
            <v>2550</v>
          </cell>
          <cell r="Q190">
            <v>0</v>
          </cell>
          <cell r="R190">
            <v>2400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2400</v>
          </cell>
          <cell r="AV190" t="str">
            <v>Servicios</v>
          </cell>
          <cell r="AW190">
            <v>5100005175</v>
          </cell>
          <cell r="AX190" t="str">
            <v>CONTITECH NORTH AMERICA,</v>
          </cell>
          <cell r="AY190" t="str">
            <v xml:space="preserve">US </v>
          </cell>
          <cell r="AZ190">
            <v>9</v>
          </cell>
          <cell r="BB190" t="str">
            <v>AADTD</v>
          </cell>
          <cell r="BC190" t="str">
            <v>AADTD-06.08.2026-(21B3)-JHUB</v>
          </cell>
          <cell r="BE190">
            <v>0</v>
          </cell>
          <cell r="BF190">
            <v>0</v>
          </cell>
          <cell r="BG190">
            <v>3.76</v>
          </cell>
          <cell r="BH190">
            <v>2500</v>
          </cell>
          <cell r="BI190" t="e">
            <v>#DIV/0!</v>
          </cell>
          <cell r="BJ190">
            <v>9400</v>
          </cell>
          <cell r="BK190" t="e">
            <v>#DIV/0!</v>
          </cell>
          <cell r="BL190" t="e">
            <v>#DIV/0!</v>
          </cell>
          <cell r="BM190" t="str">
            <v>0</v>
          </cell>
          <cell r="BN190">
            <v>2400</v>
          </cell>
          <cell r="BO190">
            <v>2400</v>
          </cell>
          <cell r="BP190">
            <v>2400</v>
          </cell>
          <cell r="BQ190">
            <v>2400</v>
          </cell>
          <cell r="BR190">
            <v>2400</v>
          </cell>
          <cell r="BS190">
            <v>2400</v>
          </cell>
          <cell r="BT190">
            <v>2400</v>
          </cell>
          <cell r="BU190">
            <v>2400</v>
          </cell>
          <cell r="BV190">
            <v>2400</v>
          </cell>
          <cell r="BW190">
            <v>2400</v>
          </cell>
          <cell r="BY190" t="str">
            <v>EA</v>
          </cell>
        </row>
        <row r="191">
          <cell r="C191" t="str">
            <v>FC2B1F2SML02</v>
          </cell>
          <cell r="D191">
            <v>75</v>
          </cell>
          <cell r="E191" t="str">
            <v>BRKT/CLIP-A/C LINE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V191" t="str">
            <v xml:space="preserve">Obsoleto </v>
          </cell>
          <cell r="AW191">
            <v>5100001667</v>
          </cell>
          <cell r="AX191" t="str">
            <v>PRECISE TOOL &amp; DIE LIMIT</v>
          </cell>
          <cell r="AY191" t="str">
            <v xml:space="preserve">US </v>
          </cell>
          <cell r="AZ191" t="e">
            <v>#N/A</v>
          </cell>
          <cell r="BB191" t="str">
            <v>AADTD</v>
          </cell>
          <cell r="BC191" t="str">
            <v>AADTD-06.08.2026-(21B3)-EPDC</v>
          </cell>
          <cell r="BE191" t="e">
            <v>#N/A</v>
          </cell>
          <cell r="BF191">
            <v>0</v>
          </cell>
          <cell r="BG191">
            <v>1.865</v>
          </cell>
          <cell r="BH191">
            <v>0</v>
          </cell>
          <cell r="BI191" t="e">
            <v>#DIV/0!</v>
          </cell>
          <cell r="BJ191">
            <v>0</v>
          </cell>
          <cell r="BK191" t="e">
            <v>#DIV/0!</v>
          </cell>
          <cell r="BL191" t="e">
            <v>#DIV/0!</v>
          </cell>
          <cell r="BM191" t="str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 t="str">
            <v>FC2B1F2SML02</v>
          </cell>
        </row>
        <row r="192">
          <cell r="C192" t="str">
            <v>FC2B1F2SMP01</v>
          </cell>
          <cell r="D192">
            <v>300</v>
          </cell>
          <cell r="E192" t="str">
            <v>BRKT/CLIP-A/C LINE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V192" t="str">
            <v xml:space="preserve">Obsoleto </v>
          </cell>
          <cell r="AW192">
            <v>5100001667</v>
          </cell>
          <cell r="AX192" t="str">
            <v>PRECISE TOOL &amp; DIE LIMIT</v>
          </cell>
          <cell r="AY192" t="str">
            <v xml:space="preserve">US </v>
          </cell>
          <cell r="AZ192" t="e">
            <v>#N/A</v>
          </cell>
          <cell r="BB192" t="str">
            <v>AADTD</v>
          </cell>
          <cell r="BC192" t="str">
            <v>AADTD-06.08.2026-(21B3)-EPDC</v>
          </cell>
          <cell r="BE192" t="e">
            <v>#N/A</v>
          </cell>
          <cell r="BF192">
            <v>0</v>
          </cell>
          <cell r="BG192">
            <v>0.61697000000000002</v>
          </cell>
          <cell r="BH192">
            <v>0</v>
          </cell>
          <cell r="BI192" t="e">
            <v>#DIV/0!</v>
          </cell>
          <cell r="BJ192">
            <v>0</v>
          </cell>
          <cell r="BK192" t="e">
            <v>#DIV/0!</v>
          </cell>
          <cell r="BL192" t="e">
            <v>#DIV/0!</v>
          </cell>
          <cell r="BM192" t="str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 t="str">
            <v>FC2B1F2SMP01</v>
          </cell>
        </row>
        <row r="193">
          <cell r="C193" t="str">
            <v>FC2B1F2STD01</v>
          </cell>
          <cell r="D193">
            <v>125</v>
          </cell>
          <cell r="E193" t="str">
            <v>BRKT/CLIP-A/C LINE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V193" t="str">
            <v xml:space="preserve">Obsoleto </v>
          </cell>
          <cell r="AW193">
            <v>5100001667</v>
          </cell>
          <cell r="AX193" t="str">
            <v>PRECISE TOOL &amp; DIE LIMIT</v>
          </cell>
          <cell r="AY193" t="str">
            <v xml:space="preserve">US </v>
          </cell>
          <cell r="AZ193" t="e">
            <v>#N/A</v>
          </cell>
          <cell r="BB193" t="str">
            <v>AADTD</v>
          </cell>
          <cell r="BC193" t="str">
            <v>AADTD-06.08.2026-(21B3)-EPDC</v>
          </cell>
          <cell r="BE193" t="e">
            <v>#N/A</v>
          </cell>
          <cell r="BF193">
            <v>0</v>
          </cell>
          <cell r="BG193">
            <v>0.71760000000000002</v>
          </cell>
          <cell r="BH193">
            <v>0</v>
          </cell>
          <cell r="BI193" t="e">
            <v>#DIV/0!</v>
          </cell>
          <cell r="BJ193">
            <v>0</v>
          </cell>
          <cell r="BK193" t="e">
            <v>#DIV/0!</v>
          </cell>
          <cell r="BL193" t="e">
            <v>#DIV/0!</v>
          </cell>
          <cell r="BM193" t="str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 t="str">
            <v>FC2B1F2STD01</v>
          </cell>
        </row>
        <row r="194">
          <cell r="C194" t="str">
            <v>FC1A3F2S5X01</v>
          </cell>
          <cell r="D194">
            <v>1E-3</v>
          </cell>
          <cell r="E194" t="str">
            <v>SLV ABRAS BRD MONOFI D16_T0.8_L0400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V194" t="str">
            <v xml:space="preserve">Obsoleto </v>
          </cell>
          <cell r="AW194">
            <v>5100001667</v>
          </cell>
          <cell r="AX194" t="str">
            <v>FEDERAL-MOGUL POWERTRAIN</v>
          </cell>
          <cell r="AY194" t="str">
            <v xml:space="preserve">US </v>
          </cell>
          <cell r="AZ194" t="e">
            <v>#N/A</v>
          </cell>
          <cell r="BB194" t="str">
            <v>AADTD</v>
          </cell>
          <cell r="BC194" t="str">
            <v>AADTD-06.08.2026-(21B3)-EPDC</v>
          </cell>
          <cell r="BE194" t="e">
            <v>#N/A</v>
          </cell>
          <cell r="BF194">
            <v>0</v>
          </cell>
          <cell r="BG194">
            <v>0.25380000000000003</v>
          </cell>
          <cell r="BH194">
            <v>0</v>
          </cell>
          <cell r="BI194" t="e">
            <v>#DIV/0!</v>
          </cell>
          <cell r="BJ194">
            <v>0</v>
          </cell>
          <cell r="BK194" t="e">
            <v>#DIV/0!</v>
          </cell>
          <cell r="BL194" t="e">
            <v>#DIV/0!</v>
          </cell>
          <cell r="BM194" t="str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 t="str">
            <v>FC1A3F2S5X01</v>
          </cell>
        </row>
        <row r="195">
          <cell r="C195" t="str">
            <v>FC1A3F2S5Y01</v>
          </cell>
          <cell r="D195">
            <v>600</v>
          </cell>
          <cell r="E195" t="str">
            <v>SLV ABRAS BRD MONOFI D19_T0.8_L0410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V195" t="str">
            <v xml:space="preserve">Obsoleto </v>
          </cell>
          <cell r="AW195">
            <v>5100001667</v>
          </cell>
          <cell r="AX195" t="str">
            <v>FEDERAL-MOGUL POWERTRAIN</v>
          </cell>
          <cell r="AY195" t="str">
            <v xml:space="preserve">US </v>
          </cell>
          <cell r="AZ195" t="e">
            <v>#N/A</v>
          </cell>
          <cell r="BB195" t="str">
            <v>AADTD</v>
          </cell>
          <cell r="BC195" t="str">
            <v>AADTD-06.08.2026-(21B3)-EPDC</v>
          </cell>
          <cell r="BE195" t="e">
            <v>#N/A</v>
          </cell>
          <cell r="BF195">
            <v>0</v>
          </cell>
          <cell r="BG195">
            <v>0.3</v>
          </cell>
          <cell r="BH195">
            <v>0</v>
          </cell>
          <cell r="BI195" t="e">
            <v>#DIV/0!</v>
          </cell>
          <cell r="BJ195">
            <v>0</v>
          </cell>
          <cell r="BK195" t="e">
            <v>#DIV/0!</v>
          </cell>
          <cell r="BL195" t="e">
            <v>#DIV/0!</v>
          </cell>
          <cell r="BM195" t="str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 t="str">
            <v>FC1A3F2S5Y01</v>
          </cell>
        </row>
        <row r="196">
          <cell r="C196" t="str">
            <v>VP9ASH-19D777-AB</v>
          </cell>
          <cell r="D196">
            <v>300</v>
          </cell>
          <cell r="E196" t="str">
            <v>SEAL - FOAM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V196" t="str">
            <v xml:space="preserve">Obsoleto </v>
          </cell>
          <cell r="AW196">
            <v>5100001718</v>
          </cell>
          <cell r="AX196" t="str">
            <v>UNIQUE FABRICATING DE ME</v>
          </cell>
          <cell r="AY196" t="str">
            <v xml:space="preserve">MX </v>
          </cell>
          <cell r="AZ196" t="e">
            <v>#N/A</v>
          </cell>
          <cell r="BB196" t="str">
            <v>AADTD</v>
          </cell>
          <cell r="BC196" t="str">
            <v>AADTD-06.08.2026-(21B3)-EPDC</v>
          </cell>
          <cell r="BE196" t="e">
            <v>#N/A</v>
          </cell>
          <cell r="BF196">
            <v>0</v>
          </cell>
          <cell r="BG196">
            <v>0.32</v>
          </cell>
          <cell r="BH196">
            <v>0</v>
          </cell>
          <cell r="BI196" t="e">
            <v>#DIV/0!</v>
          </cell>
          <cell r="BJ196">
            <v>0</v>
          </cell>
          <cell r="BK196" t="e">
            <v>#DIV/0!</v>
          </cell>
          <cell r="BL196" t="e">
            <v>#DIV/0!</v>
          </cell>
          <cell r="BM196" t="str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 t="str">
            <v>VP9ASH-19D777-AB</v>
          </cell>
        </row>
        <row r="197">
          <cell r="C197" t="str">
            <v>VPDLFH-19C674-HA</v>
          </cell>
          <cell r="D197">
            <v>600</v>
          </cell>
          <cell r="E197" t="str">
            <v>GROMMET - A/C TUBE BRACK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V197" t="str">
            <v xml:space="preserve">Obsoleto </v>
          </cell>
          <cell r="AW197">
            <v>5100001718</v>
          </cell>
          <cell r="AX197" t="str">
            <v>COOPER-STANDARD INDUSTRI</v>
          </cell>
          <cell r="AY197" t="str">
            <v xml:space="preserve">MX </v>
          </cell>
          <cell r="AZ197" t="e">
            <v>#N/A</v>
          </cell>
          <cell r="BB197" t="str">
            <v>AADTD</v>
          </cell>
          <cell r="BC197" t="str">
            <v>AADTD-06.08.2026-(21B3)-EPDC</v>
          </cell>
          <cell r="BE197" t="e">
            <v>#N/A</v>
          </cell>
          <cell r="BF197">
            <v>0</v>
          </cell>
          <cell r="BG197">
            <v>7.0000000000000007E-2</v>
          </cell>
          <cell r="BH197">
            <v>0</v>
          </cell>
          <cell r="BI197" t="e">
            <v>#DIV/0!</v>
          </cell>
          <cell r="BJ197">
            <v>0</v>
          </cell>
          <cell r="BK197" t="e">
            <v>#DIV/0!</v>
          </cell>
          <cell r="BL197" t="e">
            <v>#DIV/0!</v>
          </cell>
          <cell r="BM197" t="str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 t="str">
            <v>VPDLFH-19C674-HA</v>
          </cell>
        </row>
        <row r="198">
          <cell r="C198" t="str">
            <v>VPBK3H-19E754-AB</v>
          </cell>
          <cell r="D198">
            <v>1</v>
          </cell>
          <cell r="E198" t="str">
            <v>BRACKET/CLIP - A/C LINE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V198" t="str">
            <v xml:space="preserve">Obsoleto </v>
          </cell>
          <cell r="AW198">
            <v>5100001718</v>
          </cell>
          <cell r="AX198" t="str">
            <v>ERSAN KAUCUK SAN. VE TIC</v>
          </cell>
          <cell r="AY198" t="str">
            <v xml:space="preserve">MX </v>
          </cell>
          <cell r="AZ198" t="e">
            <v>#N/A</v>
          </cell>
          <cell r="BB198" t="str">
            <v>AADTD</v>
          </cell>
          <cell r="BC198" t="str">
            <v>AADTD-06.08.2026-(21B3)-EPDC</v>
          </cell>
          <cell r="BE198" t="e">
            <v>#N/A</v>
          </cell>
          <cell r="BF198">
            <v>0</v>
          </cell>
          <cell r="BG198">
            <v>0.40310000000000001</v>
          </cell>
          <cell r="BH198">
            <v>0</v>
          </cell>
          <cell r="BI198" t="e">
            <v>#DIV/0!</v>
          </cell>
          <cell r="BJ198">
            <v>0</v>
          </cell>
          <cell r="BK198" t="e">
            <v>#DIV/0!</v>
          </cell>
          <cell r="BL198" t="e">
            <v>#DIV/0!</v>
          </cell>
          <cell r="BM198" t="str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 t="str">
            <v>VPBK3H-19E754-AB</v>
          </cell>
        </row>
        <row r="199">
          <cell r="C199" t="str">
            <v>FC2C5F2SAC02</v>
          </cell>
          <cell r="D199">
            <v>2000</v>
          </cell>
          <cell r="E199" t="str">
            <v>GROMMET-A/C TUBE BRKT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V199" t="str">
            <v xml:space="preserve">Obsoleto </v>
          </cell>
          <cell r="AW199">
            <v>5100001667</v>
          </cell>
          <cell r="AX199" t="str">
            <v>SINCLAIR &amp; RUSH, INC.</v>
          </cell>
          <cell r="AY199" t="str">
            <v xml:space="preserve">US </v>
          </cell>
          <cell r="AZ199" t="e">
            <v>#N/A</v>
          </cell>
          <cell r="BB199" t="str">
            <v>AADTD</v>
          </cell>
          <cell r="BC199" t="str">
            <v>AADTD-06.08.2026-(21B3)-EPDC</v>
          </cell>
          <cell r="BE199" t="e">
            <v>#N/A</v>
          </cell>
          <cell r="BF199">
            <v>0</v>
          </cell>
          <cell r="BG199">
            <v>0.2034</v>
          </cell>
          <cell r="BH199">
            <v>0</v>
          </cell>
          <cell r="BI199" t="e">
            <v>#DIV/0!</v>
          </cell>
          <cell r="BJ199">
            <v>0</v>
          </cell>
          <cell r="BK199" t="e">
            <v>#DIV/0!</v>
          </cell>
          <cell r="BL199" t="e">
            <v>#DIV/0!</v>
          </cell>
          <cell r="BM199" t="str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 t="str">
            <v>FC2C5F2SAC02</v>
          </cell>
        </row>
        <row r="200">
          <cell r="C200" t="str">
            <v>VPBK2H-19D702-BB</v>
          </cell>
          <cell r="D200">
            <v>3000</v>
          </cell>
          <cell r="E200" t="str">
            <v>CAP ASSY - A/C CHARGE VA LVE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V200" t="str">
            <v xml:space="preserve">Obsoleto </v>
          </cell>
          <cell r="AW200">
            <v>5100001718</v>
          </cell>
          <cell r="AX200" t="str">
            <v>VPI AQUISITION LLC DBA V</v>
          </cell>
          <cell r="AY200" t="str">
            <v xml:space="preserve">MX </v>
          </cell>
          <cell r="AZ200" t="e">
            <v>#N/A</v>
          </cell>
          <cell r="BB200" t="str">
            <v>AADTD</v>
          </cell>
          <cell r="BC200" t="str">
            <v>AADTD-06.08.2026-(21B3)-EPDC</v>
          </cell>
          <cell r="BE200" t="e">
            <v>#N/A</v>
          </cell>
          <cell r="BF200">
            <v>0</v>
          </cell>
          <cell r="BG200">
            <v>0.29719999999999996</v>
          </cell>
          <cell r="BH200">
            <v>0</v>
          </cell>
          <cell r="BI200" t="e">
            <v>#DIV/0!</v>
          </cell>
          <cell r="BJ200">
            <v>0</v>
          </cell>
          <cell r="BK200" t="e">
            <v>#DIV/0!</v>
          </cell>
          <cell r="BL200" t="e">
            <v>#DIV/0!</v>
          </cell>
          <cell r="BM200" t="str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 t="str">
            <v>VPBK2H-19D702-BB</v>
          </cell>
        </row>
        <row r="201">
          <cell r="C201" t="str">
            <v>VPGTXH-19D594-BB</v>
          </cell>
          <cell r="D201">
            <v>180</v>
          </cell>
          <cell r="E201" t="str">
            <v>Switch-A/C Pres Transduc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V201" t="str">
            <v xml:space="preserve">Obsoleto </v>
          </cell>
          <cell r="AW201">
            <v>5100001718</v>
          </cell>
          <cell r="AX201" t="str">
            <v>renzo II</v>
          </cell>
          <cell r="AY201" t="str">
            <v xml:space="preserve">MX </v>
          </cell>
          <cell r="AZ201" t="e">
            <v>#N/A</v>
          </cell>
          <cell r="BB201" t="str">
            <v>AADTD</v>
          </cell>
          <cell r="BC201" t="str">
            <v>AADTD-06.08.2026-(21B3)-EPDC</v>
          </cell>
          <cell r="BE201" t="e">
            <v>#N/A</v>
          </cell>
          <cell r="BF201">
            <v>0</v>
          </cell>
          <cell r="BG201">
            <v>8.3448799999999999</v>
          </cell>
          <cell r="BH201">
            <v>0</v>
          </cell>
          <cell r="BI201" t="e">
            <v>#DIV/0!</v>
          </cell>
          <cell r="BJ201">
            <v>0</v>
          </cell>
          <cell r="BK201" t="e">
            <v>#DIV/0!</v>
          </cell>
          <cell r="BL201" t="e">
            <v>#DIV/0!</v>
          </cell>
          <cell r="BM201" t="str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 t="str">
            <v>VPGTXH-19D594-BB</v>
          </cell>
        </row>
        <row r="202">
          <cell r="C202" t="str">
            <v>FE1A4F2S1R03</v>
          </cell>
          <cell r="D202">
            <v>1</v>
          </cell>
          <cell r="E202" t="str">
            <v>PRESSURE T/SWITCH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-84</v>
          </cell>
          <cell r="O202">
            <v>0</v>
          </cell>
          <cell r="P202">
            <v>228</v>
          </cell>
          <cell r="Q202">
            <v>0</v>
          </cell>
          <cell r="R202">
            <v>312</v>
          </cell>
          <cell r="S202">
            <v>427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60</v>
          </cell>
          <cell r="AL202">
            <v>78</v>
          </cell>
          <cell r="AM202">
            <v>0</v>
          </cell>
          <cell r="AN202">
            <v>0</v>
          </cell>
          <cell r="AO202">
            <v>0</v>
          </cell>
          <cell r="AP202">
            <v>18</v>
          </cell>
          <cell r="AQ202">
            <v>0</v>
          </cell>
          <cell r="AR202">
            <v>0</v>
          </cell>
          <cell r="AS202">
            <v>0</v>
          </cell>
          <cell r="AT202">
            <v>312</v>
          </cell>
          <cell r="AV202" t="str">
            <v xml:space="preserve">Obsoleto </v>
          </cell>
          <cell r="AW202">
            <v>5100001667</v>
          </cell>
          <cell r="AX202" t="e">
            <v>#N/A</v>
          </cell>
          <cell r="AY202" t="str">
            <v xml:space="preserve">US </v>
          </cell>
          <cell r="AZ202" t="e">
            <v>#N/A</v>
          </cell>
          <cell r="BB202" t="str">
            <v>AADTD</v>
          </cell>
          <cell r="BC202" t="str">
            <v>AADTD-06.08.2026-(21B3)-EPDC</v>
          </cell>
          <cell r="BE202" t="e">
            <v>#N/A</v>
          </cell>
          <cell r="BF202">
            <v>14.181818181818182</v>
          </cell>
          <cell r="BG202">
            <v>9.16</v>
          </cell>
          <cell r="BH202">
            <v>312</v>
          </cell>
          <cell r="BI202">
            <v>22</v>
          </cell>
          <cell r="BJ202">
            <v>2857.92</v>
          </cell>
          <cell r="BK202">
            <v>46313</v>
          </cell>
          <cell r="BL202">
            <v>132</v>
          </cell>
          <cell r="BM202" t="str">
            <v>0</v>
          </cell>
          <cell r="BN202">
            <v>312</v>
          </cell>
          <cell r="BO202">
            <v>312</v>
          </cell>
          <cell r="BP202">
            <v>312</v>
          </cell>
          <cell r="BQ202">
            <v>312</v>
          </cell>
          <cell r="BR202">
            <v>312</v>
          </cell>
          <cell r="BS202">
            <v>312</v>
          </cell>
          <cell r="BT202">
            <v>312</v>
          </cell>
          <cell r="BU202">
            <v>312</v>
          </cell>
          <cell r="BV202">
            <v>312</v>
          </cell>
          <cell r="BW202">
            <v>312</v>
          </cell>
          <cell r="BX202" t="str">
            <v>FE1A4F2S1R03</v>
          </cell>
        </row>
        <row r="203">
          <cell r="C203" t="str">
            <v>FC1Z0F2S7S01</v>
          </cell>
          <cell r="D203">
            <v>100</v>
          </cell>
          <cell r="E203" t="str">
            <v>13/32" Formed Hose GY489</v>
          </cell>
          <cell r="F203">
            <v>0</v>
          </cell>
          <cell r="G203">
            <v>600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O203">
            <v>0</v>
          </cell>
          <cell r="P203">
            <v>700</v>
          </cell>
          <cell r="Q203">
            <v>0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100</v>
          </cell>
          <cell r="AV203" t="str">
            <v xml:space="preserve">Obsoleto </v>
          </cell>
          <cell r="AW203">
            <v>5100001667</v>
          </cell>
          <cell r="AX203" t="str">
            <v>CONTITECH NORTH AMERICA,</v>
          </cell>
          <cell r="AY203" t="str">
            <v xml:space="preserve">US </v>
          </cell>
          <cell r="AZ203" t="e">
            <v>#N/A</v>
          </cell>
          <cell r="BB203" t="str">
            <v>AADTD</v>
          </cell>
          <cell r="BC203" t="str">
            <v>AADTD-06.08.2026-(21B3)-JHUB</v>
          </cell>
          <cell r="BE203" t="e">
            <v>#N/A</v>
          </cell>
          <cell r="BF203">
            <v>0</v>
          </cell>
          <cell r="BG203">
            <v>2.7690000000000001</v>
          </cell>
          <cell r="BH203">
            <v>700</v>
          </cell>
          <cell r="BI203" t="e">
            <v>#DIV/0!</v>
          </cell>
          <cell r="BJ203">
            <v>1938.3000000000002</v>
          </cell>
          <cell r="BK203" t="e">
            <v>#DIV/0!</v>
          </cell>
          <cell r="BL203" t="e">
            <v>#DIV/0!</v>
          </cell>
          <cell r="BM203" t="str">
            <v>0</v>
          </cell>
          <cell r="BN203">
            <v>100</v>
          </cell>
          <cell r="BO203">
            <v>100</v>
          </cell>
          <cell r="BP203">
            <v>100</v>
          </cell>
          <cell r="BQ203">
            <v>100</v>
          </cell>
          <cell r="BR203">
            <v>100</v>
          </cell>
          <cell r="BS203">
            <v>100</v>
          </cell>
          <cell r="BT203">
            <v>100</v>
          </cell>
          <cell r="BU203">
            <v>100</v>
          </cell>
          <cell r="BV203">
            <v>100</v>
          </cell>
          <cell r="BW203">
            <v>100</v>
          </cell>
          <cell r="BX203" t="str">
            <v>FC1Z0F2S7S01</v>
          </cell>
        </row>
        <row r="204">
          <cell r="C204" t="str">
            <v>FC2B1F2SML01</v>
          </cell>
          <cell r="D204">
            <v>0</v>
          </cell>
          <cell r="E204" t="e">
            <v>#N/A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V204" t="str">
            <v xml:space="preserve">Obsoleto </v>
          </cell>
          <cell r="AW204">
            <v>5100001667</v>
          </cell>
          <cell r="AX204" t="e">
            <v>#N/A</v>
          </cell>
          <cell r="AY204" t="str">
            <v xml:space="preserve">US </v>
          </cell>
          <cell r="AZ204" t="e">
            <v>#N/A</v>
          </cell>
          <cell r="BB204" t="str">
            <v>AADTD</v>
          </cell>
          <cell r="BC204" t="str">
            <v>AADTD-06.08.2026-(21B3)-EPDC</v>
          </cell>
          <cell r="BE204" t="e">
            <v>#N/A</v>
          </cell>
          <cell r="BF204">
            <v>0</v>
          </cell>
          <cell r="BG204" t="e">
            <v>#N/A</v>
          </cell>
          <cell r="BH204">
            <v>0</v>
          </cell>
          <cell r="BI204" t="e">
            <v>#DIV/0!</v>
          </cell>
          <cell r="BJ204" t="e">
            <v>#N/A</v>
          </cell>
          <cell r="BK204" t="e">
            <v>#DIV/0!</v>
          </cell>
          <cell r="BL204" t="e">
            <v>#DIV/0!</v>
          </cell>
          <cell r="BM204" t="str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 t="str">
            <v>FC2B1F2SML01</v>
          </cell>
        </row>
        <row r="205">
          <cell r="C205" t="str">
            <v>FC2B1F2STA01</v>
          </cell>
          <cell r="D205">
            <v>0</v>
          </cell>
          <cell r="E205" t="e">
            <v>#N/A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V205" t="str">
            <v xml:space="preserve">Obsoleto </v>
          </cell>
          <cell r="AW205">
            <v>5100001667</v>
          </cell>
          <cell r="AX205" t="e">
            <v>#N/A</v>
          </cell>
          <cell r="AY205" t="str">
            <v xml:space="preserve">US </v>
          </cell>
          <cell r="AZ205" t="e">
            <v>#N/A</v>
          </cell>
          <cell r="BB205" t="str">
            <v>AADTD</v>
          </cell>
          <cell r="BC205" t="str">
            <v>AADTD-06.08.2026-(21B3)-EPDC</v>
          </cell>
          <cell r="BE205" t="e">
            <v>#N/A</v>
          </cell>
          <cell r="BF205">
            <v>0</v>
          </cell>
          <cell r="BG205" t="e">
            <v>#N/A</v>
          </cell>
          <cell r="BH205">
            <v>0</v>
          </cell>
          <cell r="BI205" t="e">
            <v>#DIV/0!</v>
          </cell>
          <cell r="BJ205" t="e">
            <v>#N/A</v>
          </cell>
          <cell r="BK205" t="e">
            <v>#DIV/0!</v>
          </cell>
          <cell r="BL205" t="e">
            <v>#DIV/0!</v>
          </cell>
          <cell r="BM205" t="str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 t="str">
            <v>FC2B1F2STA01</v>
          </cell>
        </row>
        <row r="206">
          <cell r="C206" t="str">
            <v>FC1Z0F2S7L01</v>
          </cell>
          <cell r="D206">
            <v>0</v>
          </cell>
          <cell r="E206" t="e">
            <v>#N/A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V206" t="str">
            <v xml:space="preserve">Obsoleto </v>
          </cell>
          <cell r="AW206">
            <v>5100001667</v>
          </cell>
          <cell r="AX206" t="e">
            <v>#N/A</v>
          </cell>
          <cell r="AY206" t="str">
            <v xml:space="preserve">US </v>
          </cell>
          <cell r="AZ206" t="e">
            <v>#N/A</v>
          </cell>
          <cell r="BB206" t="str">
            <v>AADTD</v>
          </cell>
          <cell r="BC206" t="str">
            <v>AADTD-06.08.2026-(21B3)-EPDC</v>
          </cell>
          <cell r="BE206" t="e">
            <v>#N/A</v>
          </cell>
          <cell r="BF206">
            <v>0</v>
          </cell>
          <cell r="BG206" t="e">
            <v>#N/A</v>
          </cell>
          <cell r="BH206">
            <v>0</v>
          </cell>
          <cell r="BI206" t="e">
            <v>#DIV/0!</v>
          </cell>
          <cell r="BJ206" t="e">
            <v>#N/A</v>
          </cell>
          <cell r="BK206" t="e">
            <v>#DIV/0!</v>
          </cell>
          <cell r="BL206" t="e">
            <v>#DIV/0!</v>
          </cell>
          <cell r="BM206" t="str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 t="str">
            <v>FC1Z0F2S7L01</v>
          </cell>
        </row>
        <row r="207">
          <cell r="C207" t="str">
            <v>VPDLFH-19C674-CA</v>
          </cell>
          <cell r="D207">
            <v>0</v>
          </cell>
          <cell r="E207" t="e">
            <v>#N/A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V207" t="str">
            <v xml:space="preserve">Obsoleto </v>
          </cell>
          <cell r="AW207">
            <v>5100001718</v>
          </cell>
          <cell r="AX207" t="e">
            <v>#N/A</v>
          </cell>
          <cell r="AY207" t="str">
            <v xml:space="preserve">MX </v>
          </cell>
          <cell r="AZ207" t="e">
            <v>#N/A</v>
          </cell>
          <cell r="BB207" t="str">
            <v>AADTD</v>
          </cell>
          <cell r="BC207" t="str">
            <v>AADTD-06.08.2026-(21B3)-EPDC</v>
          </cell>
          <cell r="BE207" t="e">
            <v>#N/A</v>
          </cell>
          <cell r="BF207">
            <v>0</v>
          </cell>
          <cell r="BG207" t="e">
            <v>#N/A</v>
          </cell>
          <cell r="BH207">
            <v>0</v>
          </cell>
          <cell r="BI207" t="e">
            <v>#DIV/0!</v>
          </cell>
          <cell r="BJ207" t="e">
            <v>#N/A</v>
          </cell>
          <cell r="BK207" t="e">
            <v>#DIV/0!</v>
          </cell>
          <cell r="BL207" t="e">
            <v>#DIV/0!</v>
          </cell>
          <cell r="BM207" t="str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 t="str">
            <v>VPDLFH-19C674-CA</v>
          </cell>
        </row>
        <row r="208">
          <cell r="C208" t="str">
            <v>VPDLFH-9F854-AB</v>
          </cell>
          <cell r="D208">
            <v>0</v>
          </cell>
          <cell r="E208" t="e">
            <v>#N/A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V208" t="str">
            <v xml:space="preserve">Obsoleto </v>
          </cell>
          <cell r="AW208">
            <v>5100001718</v>
          </cell>
          <cell r="AX208" t="e">
            <v>#N/A</v>
          </cell>
          <cell r="AY208" t="str">
            <v xml:space="preserve">MX </v>
          </cell>
          <cell r="AZ208" t="e">
            <v>#N/A</v>
          </cell>
          <cell r="BB208" t="str">
            <v>AADTD</v>
          </cell>
          <cell r="BC208" t="str">
            <v>AADTD-06.08.2026-(21B3)-EPDC</v>
          </cell>
          <cell r="BE208" t="e">
            <v>#N/A</v>
          </cell>
          <cell r="BF208">
            <v>0</v>
          </cell>
          <cell r="BG208" t="e">
            <v>#N/A</v>
          </cell>
          <cell r="BH208">
            <v>0</v>
          </cell>
          <cell r="BI208" t="e">
            <v>#DIV/0!</v>
          </cell>
          <cell r="BJ208" t="e">
            <v>#N/A</v>
          </cell>
          <cell r="BK208" t="e">
            <v>#DIV/0!</v>
          </cell>
          <cell r="BL208" t="e">
            <v>#DIV/0!</v>
          </cell>
          <cell r="BM208" t="str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 t="str">
            <v>VPDLFH-9F854-AB</v>
          </cell>
        </row>
        <row r="209">
          <cell r="C209" t="str">
            <v>VPDLFH-19C674-AA</v>
          </cell>
          <cell r="D209">
            <v>50</v>
          </cell>
          <cell r="E209" t="e">
            <v>#N/A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V209" t="str">
            <v xml:space="preserve">Obsoleto </v>
          </cell>
          <cell r="AW209">
            <v>5100001718</v>
          </cell>
          <cell r="AX209" t="e">
            <v>#N/A</v>
          </cell>
          <cell r="AY209" t="str">
            <v xml:space="preserve">MX </v>
          </cell>
          <cell r="AZ209" t="e">
            <v>#N/A</v>
          </cell>
          <cell r="BB209" t="str">
            <v>AADTD</v>
          </cell>
          <cell r="BC209" t="str">
            <v>AADTD-06.08.2026-(21B3)-EPDC</v>
          </cell>
          <cell r="BE209" t="e">
            <v>#N/A</v>
          </cell>
          <cell r="BF209">
            <v>0</v>
          </cell>
          <cell r="BG209" t="e">
            <v>#N/A</v>
          </cell>
          <cell r="BH209">
            <v>0</v>
          </cell>
          <cell r="BI209" t="e">
            <v>#DIV/0!</v>
          </cell>
          <cell r="BJ209" t="e">
            <v>#N/A</v>
          </cell>
          <cell r="BK209" t="e">
            <v>#DIV/0!</v>
          </cell>
          <cell r="BL209" t="e">
            <v>#DIV/0!</v>
          </cell>
          <cell r="BM209" t="str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 t="str">
            <v>VPDLFH-19C674-AA</v>
          </cell>
        </row>
        <row r="210">
          <cell r="C210" t="str">
            <v>VPDLFH-19C674-BA</v>
          </cell>
          <cell r="D210">
            <v>0</v>
          </cell>
          <cell r="E210" t="e">
            <v>#N/A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V210" t="str">
            <v xml:space="preserve">Obsoleto </v>
          </cell>
          <cell r="AW210">
            <v>5100001718</v>
          </cell>
          <cell r="AX210" t="e">
            <v>#N/A</v>
          </cell>
          <cell r="AY210" t="str">
            <v xml:space="preserve">MX </v>
          </cell>
          <cell r="AZ210" t="e">
            <v>#N/A</v>
          </cell>
          <cell r="BB210" t="str">
            <v>AADTD</v>
          </cell>
          <cell r="BC210" t="str">
            <v>AADTD-06.08.2026-(21B3)-EPDC</v>
          </cell>
          <cell r="BE210" t="e">
            <v>#N/A</v>
          </cell>
          <cell r="BF210">
            <v>0</v>
          </cell>
          <cell r="BG210" t="e">
            <v>#N/A</v>
          </cell>
          <cell r="BH210">
            <v>0</v>
          </cell>
          <cell r="BI210" t="e">
            <v>#DIV/0!</v>
          </cell>
          <cell r="BJ210" t="e">
            <v>#N/A</v>
          </cell>
          <cell r="BK210" t="e">
            <v>#DIV/0!</v>
          </cell>
          <cell r="BL210" t="e">
            <v>#DIV/0!</v>
          </cell>
          <cell r="BM210" t="str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 t="str">
            <v>VPDLFH-19C674-BA</v>
          </cell>
        </row>
        <row r="211">
          <cell r="C211" t="str">
            <v>VPDLFH-19E889-AA</v>
          </cell>
          <cell r="D211">
            <v>300</v>
          </cell>
          <cell r="E211" t="e">
            <v>#N/A</v>
          </cell>
          <cell r="F211">
            <v>0</v>
          </cell>
          <cell r="G211">
            <v>0</v>
          </cell>
          <cell r="I211">
            <v>0</v>
          </cell>
          <cell r="M211">
            <v>0</v>
          </cell>
          <cell r="O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V211" t="str">
            <v xml:space="preserve">Obsoleto </v>
          </cell>
          <cell r="AW211">
            <v>5100001718</v>
          </cell>
          <cell r="AX211" t="e">
            <v>#N/A</v>
          </cell>
          <cell r="AY211" t="str">
            <v xml:space="preserve">MX </v>
          </cell>
          <cell r="AZ211" t="e">
            <v>#N/A</v>
          </cell>
          <cell r="BB211" t="str">
            <v>AADTD</v>
          </cell>
          <cell r="BC211" t="str">
            <v>AADTD-06.08.2026-(21B3)-EPDC</v>
          </cell>
          <cell r="BE211" t="e">
            <v>#N/A</v>
          </cell>
          <cell r="BF211">
            <v>0</v>
          </cell>
          <cell r="BG211" t="e">
            <v>#N/A</v>
          </cell>
          <cell r="BH211">
            <v>0</v>
          </cell>
          <cell r="BI211" t="e">
            <v>#DIV/0!</v>
          </cell>
          <cell r="BJ211" t="e">
            <v>#N/A</v>
          </cell>
          <cell r="BK211" t="e">
            <v>#DIV/0!</v>
          </cell>
          <cell r="BL211" t="e">
            <v>#DIV/0!</v>
          </cell>
          <cell r="BM211" t="str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 t="str">
            <v>VPDLFH-19E889-AA</v>
          </cell>
        </row>
        <row r="212">
          <cell r="C212" t="str">
            <v>VPDLFH-19E889-CA</v>
          </cell>
          <cell r="D212">
            <v>0</v>
          </cell>
          <cell r="E212" t="e">
            <v>#N/A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V212" t="str">
            <v xml:space="preserve">Obsoleto </v>
          </cell>
          <cell r="AW212">
            <v>5100001718</v>
          </cell>
          <cell r="AX212" t="e">
            <v>#N/A</v>
          </cell>
          <cell r="AY212" t="str">
            <v xml:space="preserve">MX </v>
          </cell>
          <cell r="AZ212" t="e">
            <v>#N/A</v>
          </cell>
          <cell r="BB212" t="str">
            <v>AADTD</v>
          </cell>
          <cell r="BC212" t="str">
            <v>AADTD-06.08.2026-(21B3)-EPDC</v>
          </cell>
          <cell r="BE212" t="e">
            <v>#N/A</v>
          </cell>
          <cell r="BF212">
            <v>0</v>
          </cell>
          <cell r="BG212" t="e">
            <v>#N/A</v>
          </cell>
          <cell r="BH212">
            <v>0</v>
          </cell>
          <cell r="BI212" t="e">
            <v>#DIV/0!</v>
          </cell>
          <cell r="BJ212" t="e">
            <v>#N/A</v>
          </cell>
          <cell r="BK212" t="e">
            <v>#DIV/0!</v>
          </cell>
          <cell r="BL212" t="e">
            <v>#DIV/0!</v>
          </cell>
          <cell r="BM212" t="str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 t="str">
            <v>VPDLFH-19E889-CA</v>
          </cell>
        </row>
        <row r="213">
          <cell r="C213" t="str">
            <v>1L2H-048B60-SA</v>
          </cell>
          <cell r="D213">
            <v>0</v>
          </cell>
          <cell r="E213" t="e">
            <v>#N/A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V213" t="str">
            <v xml:space="preserve">Obsoleto </v>
          </cell>
          <cell r="AW213" t="str">
            <v>-</v>
          </cell>
          <cell r="AX213" t="e">
            <v>#N/A</v>
          </cell>
          <cell r="AY213" t="str">
            <v>-</v>
          </cell>
          <cell r="AZ213" t="e">
            <v>#N/A</v>
          </cell>
          <cell r="BB213" t="str">
            <v>AADTD</v>
          </cell>
          <cell r="BC213" t="str">
            <v>AADTD-06.08.2026-(21B3)-EPDC</v>
          </cell>
          <cell r="BE213" t="e">
            <v>#N/A</v>
          </cell>
          <cell r="BF213">
            <v>0</v>
          </cell>
          <cell r="BG213" t="e">
            <v>#N/A</v>
          </cell>
          <cell r="BH213">
            <v>0</v>
          </cell>
          <cell r="BI213" t="e">
            <v>#DIV/0!</v>
          </cell>
          <cell r="BJ213" t="e">
            <v>#N/A</v>
          </cell>
          <cell r="BK213" t="e">
            <v>#DIV/0!</v>
          </cell>
          <cell r="BL213" t="e">
            <v>#DIV/0!</v>
          </cell>
          <cell r="BM213" t="str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 t="str">
            <v>1L2H-048B60-SA</v>
          </cell>
        </row>
        <row r="214">
          <cell r="C214" t="str">
            <v>00155476-010000</v>
          </cell>
          <cell r="D214">
            <v>0</v>
          </cell>
          <cell r="E214" t="e">
            <v>#N/A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V214" t="str">
            <v xml:space="preserve">Obsoleto </v>
          </cell>
          <cell r="AW214" t="str">
            <v>-</v>
          </cell>
          <cell r="AX214" t="e">
            <v>#N/A</v>
          </cell>
          <cell r="AY214" t="str">
            <v>-</v>
          </cell>
          <cell r="AZ214" t="e">
            <v>#N/A</v>
          </cell>
          <cell r="BB214" t="str">
            <v>AADTD</v>
          </cell>
          <cell r="BC214" t="str">
            <v>AADTD-06.08.2026-(21B3)-EPDC</v>
          </cell>
          <cell r="BE214" t="e">
            <v>#N/A</v>
          </cell>
          <cell r="BF214">
            <v>0</v>
          </cell>
          <cell r="BG214" t="e">
            <v>#N/A</v>
          </cell>
          <cell r="BH214">
            <v>0</v>
          </cell>
          <cell r="BI214" t="e">
            <v>#DIV/0!</v>
          </cell>
          <cell r="BJ214" t="e">
            <v>#N/A</v>
          </cell>
          <cell r="BK214" t="e">
            <v>#DIV/0!</v>
          </cell>
          <cell r="BL214" t="e">
            <v>#DIV/0!</v>
          </cell>
          <cell r="BM214" t="str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 t="str">
            <v>00155476-010000</v>
          </cell>
        </row>
        <row r="215">
          <cell r="C215" t="str">
            <v>00155477-010000</v>
          </cell>
          <cell r="D215">
            <v>0</v>
          </cell>
          <cell r="E215" t="e">
            <v>#N/A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V215" t="str">
            <v xml:space="preserve">Obsoleto </v>
          </cell>
          <cell r="AW215" t="str">
            <v>-</v>
          </cell>
          <cell r="AX215" t="e">
            <v>#N/A</v>
          </cell>
          <cell r="AY215" t="str">
            <v>-</v>
          </cell>
          <cell r="AZ215" t="e">
            <v>#N/A</v>
          </cell>
          <cell r="BB215" t="str">
            <v>AADTD</v>
          </cell>
          <cell r="BC215" t="str">
            <v>AADTD-06.08.2026-(21B3)-EPDC</v>
          </cell>
          <cell r="BE215" t="e">
            <v>#N/A</v>
          </cell>
          <cell r="BF215">
            <v>0</v>
          </cell>
          <cell r="BG215" t="e">
            <v>#N/A</v>
          </cell>
          <cell r="BH215">
            <v>0</v>
          </cell>
          <cell r="BI215" t="e">
            <v>#DIV/0!</v>
          </cell>
          <cell r="BJ215" t="e">
            <v>#N/A</v>
          </cell>
          <cell r="BK215" t="e">
            <v>#DIV/0!</v>
          </cell>
          <cell r="BL215" t="e">
            <v>#DIV/0!</v>
          </cell>
          <cell r="BM215" t="str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 t="str">
            <v>00155477-010000</v>
          </cell>
        </row>
        <row r="216">
          <cell r="C216" t="str">
            <v>VP9ASH-19911-BA</v>
          </cell>
          <cell r="D216">
            <v>0</v>
          </cell>
          <cell r="E216" t="e">
            <v>#N/A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V216" t="str">
            <v xml:space="preserve">Obsoleto </v>
          </cell>
          <cell r="AW216">
            <v>5100001718</v>
          </cell>
          <cell r="AX216" t="e">
            <v>#N/A</v>
          </cell>
          <cell r="AY216" t="str">
            <v xml:space="preserve">MX </v>
          </cell>
          <cell r="AZ216" t="e">
            <v>#N/A</v>
          </cell>
          <cell r="BB216" t="str">
            <v>AADTD</v>
          </cell>
          <cell r="BC216" t="str">
            <v>AADTD-06.08.2026-(21B3)-EPDC</v>
          </cell>
          <cell r="BE216" t="e">
            <v>#N/A</v>
          </cell>
          <cell r="BF216">
            <v>0</v>
          </cell>
          <cell r="BG216" t="e">
            <v>#N/A</v>
          </cell>
          <cell r="BH216">
            <v>0</v>
          </cell>
          <cell r="BI216" t="e">
            <v>#DIV/0!</v>
          </cell>
          <cell r="BJ216" t="e">
            <v>#N/A</v>
          </cell>
          <cell r="BK216" t="e">
            <v>#DIV/0!</v>
          </cell>
          <cell r="BL216" t="e">
            <v>#DIV/0!</v>
          </cell>
          <cell r="BM216" t="str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 t="str">
            <v>VP9ASH-19911-BA</v>
          </cell>
        </row>
        <row r="217">
          <cell r="C217" t="str">
            <v>VPAV6H-19812-AB</v>
          </cell>
          <cell r="D217">
            <v>0</v>
          </cell>
          <cell r="E217" t="e">
            <v>#N/A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V217" t="str">
            <v xml:space="preserve">Obsoleto </v>
          </cell>
          <cell r="AW217">
            <v>5100001718</v>
          </cell>
          <cell r="AX217" t="e">
            <v>#N/A</v>
          </cell>
          <cell r="AY217" t="str">
            <v xml:space="preserve">MX </v>
          </cell>
          <cell r="AZ217" t="e">
            <v>#N/A</v>
          </cell>
          <cell r="BB217" t="str">
            <v>AADTD</v>
          </cell>
          <cell r="BC217" t="str">
            <v>AADTD-06.08.2026-(21B3)-EPDC</v>
          </cell>
          <cell r="BE217" t="e">
            <v>#N/A</v>
          </cell>
          <cell r="BF217">
            <v>0</v>
          </cell>
          <cell r="BG217" t="e">
            <v>#N/A</v>
          </cell>
          <cell r="BH217">
            <v>0</v>
          </cell>
          <cell r="BI217" t="e">
            <v>#DIV/0!</v>
          </cell>
          <cell r="BJ217" t="e">
            <v>#N/A</v>
          </cell>
          <cell r="BK217" t="e">
            <v>#DIV/0!</v>
          </cell>
          <cell r="BL217" t="e">
            <v>#DIV/0!</v>
          </cell>
          <cell r="BM217" t="str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 t="str">
            <v>VPAV6H-19812-AB</v>
          </cell>
        </row>
        <row r="218">
          <cell r="C218" t="str">
            <v>VPDLFH-19812-BA</v>
          </cell>
          <cell r="D218">
            <v>0</v>
          </cell>
          <cell r="E218" t="e">
            <v>#N/A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V218" t="str">
            <v xml:space="preserve">Obsoleto </v>
          </cell>
          <cell r="AW218">
            <v>5100001718</v>
          </cell>
          <cell r="AX218" t="e">
            <v>#N/A</v>
          </cell>
          <cell r="AY218" t="str">
            <v xml:space="preserve">MX </v>
          </cell>
          <cell r="AZ218" t="e">
            <v>#N/A</v>
          </cell>
          <cell r="BB218" t="str">
            <v>AADTD</v>
          </cell>
          <cell r="BC218" t="str">
            <v>AADTD-06.08.2026-(21B3)-EPDC</v>
          </cell>
          <cell r="BE218" t="e">
            <v>#N/A</v>
          </cell>
          <cell r="BF218">
            <v>0</v>
          </cell>
          <cell r="BG218" t="e">
            <v>#N/A</v>
          </cell>
          <cell r="BH218">
            <v>0</v>
          </cell>
          <cell r="BI218" t="e">
            <v>#DIV/0!</v>
          </cell>
          <cell r="BJ218" t="e">
            <v>#N/A</v>
          </cell>
          <cell r="BK218" t="e">
            <v>#DIV/0!</v>
          </cell>
          <cell r="BL218" t="e">
            <v>#DIV/0!</v>
          </cell>
          <cell r="BM218" t="str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 t="str">
            <v>VPDLFH-19812-BA</v>
          </cell>
        </row>
        <row r="219">
          <cell r="C219" t="str">
            <v>VPDLFH-19812-CA</v>
          </cell>
          <cell r="D219">
            <v>0</v>
          </cell>
          <cell r="E219" t="e">
            <v>#N/A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V219" t="str">
            <v xml:space="preserve">Obsoleto </v>
          </cell>
          <cell r="AW219">
            <v>5100001718</v>
          </cell>
          <cell r="AX219" t="e">
            <v>#N/A</v>
          </cell>
          <cell r="AY219" t="str">
            <v xml:space="preserve">MX </v>
          </cell>
          <cell r="AZ219" t="e">
            <v>#N/A</v>
          </cell>
          <cell r="BB219" t="str">
            <v>AADTD</v>
          </cell>
          <cell r="BC219" t="str">
            <v>AADTD-06.08.2026-(21B3)-EPDC</v>
          </cell>
          <cell r="BE219" t="e">
            <v>#N/A</v>
          </cell>
          <cell r="BF219">
            <v>0</v>
          </cell>
          <cell r="BG219" t="e">
            <v>#N/A</v>
          </cell>
          <cell r="BH219">
            <v>0</v>
          </cell>
          <cell r="BI219" t="e">
            <v>#DIV/0!</v>
          </cell>
          <cell r="BJ219" t="e">
            <v>#N/A</v>
          </cell>
          <cell r="BK219" t="e">
            <v>#DIV/0!</v>
          </cell>
          <cell r="BL219" t="e">
            <v>#DIV/0!</v>
          </cell>
          <cell r="BM219" t="str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 t="str">
            <v>VPDLFH-19812-CA</v>
          </cell>
        </row>
        <row r="220">
          <cell r="C220" t="str">
            <v>VPDLFH-19812-DA</v>
          </cell>
          <cell r="D220">
            <v>0</v>
          </cell>
          <cell r="E220" t="e">
            <v>#N/A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V220" t="str">
            <v xml:space="preserve">Obsoleto </v>
          </cell>
          <cell r="AW220">
            <v>5100001718</v>
          </cell>
          <cell r="AX220" t="e">
            <v>#N/A</v>
          </cell>
          <cell r="AY220" t="str">
            <v xml:space="preserve">MX </v>
          </cell>
          <cell r="AZ220" t="e">
            <v>#N/A</v>
          </cell>
          <cell r="BB220" t="str">
            <v>AADTD</v>
          </cell>
          <cell r="BC220" t="str">
            <v>AADTD-06.08.2026-(21B3)-EPDC</v>
          </cell>
          <cell r="BE220" t="e">
            <v>#N/A</v>
          </cell>
          <cell r="BF220">
            <v>0</v>
          </cell>
          <cell r="BG220" t="e">
            <v>#N/A</v>
          </cell>
          <cell r="BH220">
            <v>0</v>
          </cell>
          <cell r="BI220" t="e">
            <v>#DIV/0!</v>
          </cell>
          <cell r="BJ220" t="e">
            <v>#N/A</v>
          </cell>
          <cell r="BK220" t="e">
            <v>#DIV/0!</v>
          </cell>
          <cell r="BL220" t="e">
            <v>#DIV/0!</v>
          </cell>
          <cell r="BM220" t="str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 t="str">
            <v>VPDLFH-19812-DA</v>
          </cell>
        </row>
        <row r="221">
          <cell r="C221" t="str">
            <v>VPDLFH-19D701-AA</v>
          </cell>
          <cell r="D221">
            <v>0</v>
          </cell>
          <cell r="E221" t="e">
            <v>#N/A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V221" t="str">
            <v xml:space="preserve">Obsoleto </v>
          </cell>
          <cell r="AW221">
            <v>5100001718</v>
          </cell>
          <cell r="AX221" t="e">
            <v>#N/A</v>
          </cell>
          <cell r="AY221" t="str">
            <v xml:space="preserve">MX </v>
          </cell>
          <cell r="AZ221" t="e">
            <v>#N/A</v>
          </cell>
          <cell r="BB221" t="str">
            <v>AADTD</v>
          </cell>
          <cell r="BC221" t="str">
            <v>AADTD-06.08.2026-(21B3)-EPDC</v>
          </cell>
          <cell r="BE221" t="e">
            <v>#N/A</v>
          </cell>
          <cell r="BF221">
            <v>0</v>
          </cell>
          <cell r="BG221" t="e">
            <v>#N/A</v>
          </cell>
          <cell r="BH221">
            <v>0</v>
          </cell>
          <cell r="BI221" t="e">
            <v>#DIV/0!</v>
          </cell>
          <cell r="BJ221" t="e">
            <v>#N/A</v>
          </cell>
          <cell r="BK221" t="e">
            <v>#DIV/0!</v>
          </cell>
          <cell r="BL221" t="e">
            <v>#DIV/0!</v>
          </cell>
          <cell r="BM221" t="str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 t="str">
            <v>VPDLFH-19D701-AA</v>
          </cell>
        </row>
        <row r="222">
          <cell r="C222" t="str">
            <v>VPDLFH-19812-EB</v>
          </cell>
          <cell r="D222">
            <v>0</v>
          </cell>
          <cell r="E222" t="e">
            <v>#N/A</v>
          </cell>
          <cell r="F222">
            <v>0</v>
          </cell>
          <cell r="G222">
            <v>0</v>
          </cell>
          <cell r="I222">
            <v>0</v>
          </cell>
          <cell r="M222">
            <v>0</v>
          </cell>
          <cell r="O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V222" t="str">
            <v xml:space="preserve">Obsoleto </v>
          </cell>
          <cell r="AW222">
            <v>5100001718</v>
          </cell>
          <cell r="AX222" t="e">
            <v>#N/A</v>
          </cell>
          <cell r="AY222" t="str">
            <v xml:space="preserve">MX </v>
          </cell>
          <cell r="AZ222" t="e">
            <v>#N/A</v>
          </cell>
          <cell r="BB222" t="str">
            <v>AADTD</v>
          </cell>
          <cell r="BC222" t="str">
            <v>AADTD-06.08.2026-(21B3)-EPDC</v>
          </cell>
          <cell r="BE222" t="e">
            <v>#N/A</v>
          </cell>
          <cell r="BF222">
            <v>0</v>
          </cell>
          <cell r="BG222" t="e">
            <v>#N/A</v>
          </cell>
          <cell r="BH222">
            <v>0</v>
          </cell>
          <cell r="BI222" t="e">
            <v>#DIV/0!</v>
          </cell>
          <cell r="BJ222" t="e">
            <v>#N/A</v>
          </cell>
          <cell r="BK222" t="e">
            <v>#DIV/0!</v>
          </cell>
          <cell r="BL222" t="e">
            <v>#DIV/0!</v>
          </cell>
          <cell r="BM222" t="str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 t="str">
            <v>VPDLFH-19812-EB</v>
          </cell>
        </row>
        <row r="223">
          <cell r="C223" t="str">
            <v>VPDLFH-19E653-BC</v>
          </cell>
          <cell r="D223">
            <v>0</v>
          </cell>
          <cell r="E223" t="e">
            <v>#N/A</v>
          </cell>
          <cell r="F223">
            <v>0</v>
          </cell>
          <cell r="G223">
            <v>0</v>
          </cell>
          <cell r="I223">
            <v>0</v>
          </cell>
          <cell r="M223">
            <v>0</v>
          </cell>
          <cell r="O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V223" t="str">
            <v xml:space="preserve">Obsoleto </v>
          </cell>
          <cell r="AW223">
            <v>5100001718</v>
          </cell>
          <cell r="AX223" t="e">
            <v>#N/A</v>
          </cell>
          <cell r="AY223" t="str">
            <v xml:space="preserve">MX </v>
          </cell>
          <cell r="AZ223" t="e">
            <v>#N/A</v>
          </cell>
          <cell r="BB223" t="str">
            <v>AADTD</v>
          </cell>
          <cell r="BC223" t="str">
            <v>AADTD-06.08.2026-(21B3)-EPDC</v>
          </cell>
          <cell r="BE223" t="e">
            <v>#N/A</v>
          </cell>
          <cell r="BF223">
            <v>0</v>
          </cell>
          <cell r="BG223" t="e">
            <v>#N/A</v>
          </cell>
          <cell r="BH223">
            <v>0</v>
          </cell>
          <cell r="BI223" t="e">
            <v>#DIV/0!</v>
          </cell>
          <cell r="BJ223" t="e">
            <v>#N/A</v>
          </cell>
          <cell r="BK223" t="e">
            <v>#DIV/0!</v>
          </cell>
          <cell r="BL223" t="e">
            <v>#DIV/0!</v>
          </cell>
          <cell r="BM223" t="str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 t="str">
            <v>VPDLFH-19E653-BC</v>
          </cell>
        </row>
        <row r="224">
          <cell r="C224" t="str">
            <v>VPDLFH-19D990-AA</v>
          </cell>
          <cell r="D224">
            <v>0</v>
          </cell>
          <cell r="E224" t="e">
            <v>#N/A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V224" t="str">
            <v xml:space="preserve">Obsoleto </v>
          </cell>
          <cell r="AW224">
            <v>5100001718</v>
          </cell>
          <cell r="AX224" t="e">
            <v>#N/A</v>
          </cell>
          <cell r="AY224" t="str">
            <v xml:space="preserve">MX </v>
          </cell>
          <cell r="AZ224" t="e">
            <v>#N/A</v>
          </cell>
          <cell r="BB224" t="str">
            <v>AADTD</v>
          </cell>
          <cell r="BC224" t="str">
            <v>AADTD-06.08.2026-(21B3)-EPDC</v>
          </cell>
          <cell r="BE224" t="e">
            <v>#N/A</v>
          </cell>
          <cell r="BF224">
            <v>0</v>
          </cell>
          <cell r="BG224" t="e">
            <v>#N/A</v>
          </cell>
          <cell r="BH224">
            <v>0</v>
          </cell>
          <cell r="BI224" t="e">
            <v>#DIV/0!</v>
          </cell>
          <cell r="BJ224" t="e">
            <v>#N/A</v>
          </cell>
          <cell r="BK224" t="e">
            <v>#DIV/0!</v>
          </cell>
          <cell r="BL224" t="e">
            <v>#DIV/0!</v>
          </cell>
          <cell r="BM224" t="str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 t="str">
            <v>VPDLFH-19D990-AA</v>
          </cell>
        </row>
        <row r="225">
          <cell r="C225" t="str">
            <v>VPDLFH-19E653-AC</v>
          </cell>
          <cell r="D225">
            <v>0</v>
          </cell>
          <cell r="E225" t="e">
            <v>#N/A</v>
          </cell>
          <cell r="F225">
            <v>0</v>
          </cell>
          <cell r="G225">
            <v>0</v>
          </cell>
          <cell r="I225">
            <v>0</v>
          </cell>
          <cell r="M225">
            <v>0</v>
          </cell>
          <cell r="O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V225" t="str">
            <v xml:space="preserve">Obsoleto </v>
          </cell>
          <cell r="AW225">
            <v>5100001718</v>
          </cell>
          <cell r="AX225" t="e">
            <v>#N/A</v>
          </cell>
          <cell r="AY225" t="str">
            <v xml:space="preserve">MX </v>
          </cell>
          <cell r="AZ225" t="e">
            <v>#N/A</v>
          </cell>
          <cell r="BB225" t="str">
            <v>AADTD</v>
          </cell>
          <cell r="BC225" t="str">
            <v>AADTD-06.08.2026-(21B3)-EPDC</v>
          </cell>
          <cell r="BE225" t="e">
            <v>#N/A</v>
          </cell>
          <cell r="BF225">
            <v>0</v>
          </cell>
          <cell r="BG225" t="e">
            <v>#N/A</v>
          </cell>
          <cell r="BH225">
            <v>0</v>
          </cell>
          <cell r="BI225" t="e">
            <v>#DIV/0!</v>
          </cell>
          <cell r="BJ225" t="e">
            <v>#N/A</v>
          </cell>
          <cell r="BK225" t="e">
            <v>#DIV/0!</v>
          </cell>
          <cell r="BL225" t="e">
            <v>#DIV/0!</v>
          </cell>
          <cell r="BM225" t="str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 t="str">
            <v>VPDLFH-19E653-AC</v>
          </cell>
        </row>
        <row r="226">
          <cell r="C226" t="str">
            <v>VPDLFH-19D990-BA</v>
          </cell>
          <cell r="D226">
            <v>0</v>
          </cell>
          <cell r="E226" t="e">
            <v>#N/A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V226" t="str">
            <v xml:space="preserve">Obsoleto </v>
          </cell>
          <cell r="AW226">
            <v>5100001718</v>
          </cell>
          <cell r="AX226" t="e">
            <v>#N/A</v>
          </cell>
          <cell r="AY226" t="str">
            <v xml:space="preserve">MX </v>
          </cell>
          <cell r="AZ226" t="e">
            <v>#N/A</v>
          </cell>
          <cell r="BB226" t="str">
            <v>AADTD</v>
          </cell>
          <cell r="BC226" t="str">
            <v>AADTD-06.08.2026-(21B3)-EPDC</v>
          </cell>
          <cell r="BE226" t="e">
            <v>#N/A</v>
          </cell>
          <cell r="BF226">
            <v>0</v>
          </cell>
          <cell r="BG226" t="e">
            <v>#N/A</v>
          </cell>
          <cell r="BH226">
            <v>0</v>
          </cell>
          <cell r="BI226" t="e">
            <v>#DIV/0!</v>
          </cell>
          <cell r="BJ226" t="e">
            <v>#N/A</v>
          </cell>
          <cell r="BK226" t="e">
            <v>#DIV/0!</v>
          </cell>
          <cell r="BL226" t="e">
            <v>#DIV/0!</v>
          </cell>
          <cell r="BM226" t="str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 t="str">
            <v>VPDLFH-19D990-BA</v>
          </cell>
        </row>
        <row r="227">
          <cell r="C227" t="str">
            <v>VPDLFH-19D594-AA</v>
          </cell>
          <cell r="D227">
            <v>0</v>
          </cell>
          <cell r="E227" t="e">
            <v>#N/A</v>
          </cell>
          <cell r="F227">
            <v>0</v>
          </cell>
          <cell r="G227">
            <v>0</v>
          </cell>
          <cell r="I227">
            <v>0</v>
          </cell>
          <cell r="M227">
            <v>0</v>
          </cell>
          <cell r="O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V227" t="str">
            <v xml:space="preserve">Obsoleto </v>
          </cell>
          <cell r="AW227">
            <v>5100001718</v>
          </cell>
          <cell r="AX227" t="e">
            <v>#N/A</v>
          </cell>
          <cell r="AY227" t="str">
            <v xml:space="preserve">MX </v>
          </cell>
          <cell r="AZ227" t="e">
            <v>#N/A</v>
          </cell>
          <cell r="BB227" t="str">
            <v>AADTD</v>
          </cell>
          <cell r="BC227" t="str">
            <v>AADTD-06.08.2026-(21B3)-EPDC</v>
          </cell>
          <cell r="BE227" t="e">
            <v>#N/A</v>
          </cell>
          <cell r="BF227">
            <v>0</v>
          </cell>
          <cell r="BG227" t="e">
            <v>#N/A</v>
          </cell>
          <cell r="BH227">
            <v>0</v>
          </cell>
          <cell r="BI227" t="e">
            <v>#DIV/0!</v>
          </cell>
          <cell r="BJ227" t="e">
            <v>#N/A</v>
          </cell>
          <cell r="BK227" t="e">
            <v>#DIV/0!</v>
          </cell>
          <cell r="BL227" t="e">
            <v>#DIV/0!</v>
          </cell>
          <cell r="BM227" t="str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 t="str">
            <v>VPDLFH-19D594-AA</v>
          </cell>
        </row>
        <row r="228">
          <cell r="C228" t="str">
            <v>VPGTXH-19D594-AB</v>
          </cell>
          <cell r="D228">
            <v>0</v>
          </cell>
          <cell r="E228" t="e">
            <v>#N/A</v>
          </cell>
          <cell r="F228">
            <v>0</v>
          </cell>
          <cell r="G228">
            <v>0</v>
          </cell>
          <cell r="I228">
            <v>0</v>
          </cell>
          <cell r="M228">
            <v>0</v>
          </cell>
          <cell r="O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V228" t="str">
            <v xml:space="preserve">Obsoleto </v>
          </cell>
          <cell r="AW228">
            <v>5100001718</v>
          </cell>
          <cell r="AX228" t="e">
            <v>#N/A</v>
          </cell>
          <cell r="AY228" t="str">
            <v xml:space="preserve">MX </v>
          </cell>
          <cell r="AZ228" t="e">
            <v>#N/A</v>
          </cell>
          <cell r="BB228" t="str">
            <v>AADTD</v>
          </cell>
          <cell r="BC228" t="str">
            <v>AADTD-06.08.2026-(21B3)-EPDC</v>
          </cell>
          <cell r="BE228" t="e">
            <v>#N/A</v>
          </cell>
          <cell r="BF228">
            <v>0</v>
          </cell>
          <cell r="BG228" t="e">
            <v>#N/A</v>
          </cell>
          <cell r="BH228">
            <v>0</v>
          </cell>
          <cell r="BI228" t="e">
            <v>#DIV/0!</v>
          </cell>
          <cell r="BJ228" t="e">
            <v>#N/A</v>
          </cell>
          <cell r="BK228" t="e">
            <v>#DIV/0!</v>
          </cell>
          <cell r="BL228" t="e">
            <v>#DIV/0!</v>
          </cell>
          <cell r="BM228" t="str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 t="str">
            <v>VPGTXH-19D594-AB</v>
          </cell>
        </row>
        <row r="229">
          <cell r="C229" t="str">
            <v>FC2C5F2SEE01</v>
          </cell>
          <cell r="D229">
            <v>0</v>
          </cell>
          <cell r="E229" t="e">
            <v>#N/A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V229" t="str">
            <v xml:space="preserve">Obsoleto </v>
          </cell>
          <cell r="AW229">
            <v>5100001667</v>
          </cell>
          <cell r="AX229" t="e">
            <v>#N/A</v>
          </cell>
          <cell r="AY229" t="str">
            <v xml:space="preserve">US </v>
          </cell>
          <cell r="AZ229" t="e">
            <v>#N/A</v>
          </cell>
          <cell r="BB229" t="str">
            <v>AADTD</v>
          </cell>
          <cell r="BC229" t="str">
            <v>AADTD-06.08.2026-(21B3)-EPDC</v>
          </cell>
          <cell r="BE229" t="e">
            <v>#N/A</v>
          </cell>
          <cell r="BF229">
            <v>0</v>
          </cell>
          <cell r="BG229" t="e">
            <v>#N/A</v>
          </cell>
          <cell r="BH229">
            <v>0</v>
          </cell>
          <cell r="BI229" t="e">
            <v>#DIV/0!</v>
          </cell>
          <cell r="BJ229" t="e">
            <v>#N/A</v>
          </cell>
          <cell r="BK229" t="e">
            <v>#DIV/0!</v>
          </cell>
          <cell r="BL229" t="e">
            <v>#DIV/0!</v>
          </cell>
          <cell r="BM229" t="str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 t="str">
            <v>FC2C5F2SEE01</v>
          </cell>
        </row>
        <row r="230">
          <cell r="C230" t="str">
            <v>VPAV6H-19C708-XB</v>
          </cell>
          <cell r="D230">
            <v>0</v>
          </cell>
          <cell r="E230" t="e">
            <v>#N/A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V230" t="str">
            <v xml:space="preserve">Obsoleto </v>
          </cell>
          <cell r="AW230">
            <v>5100001718</v>
          </cell>
          <cell r="AX230" t="e">
            <v>#N/A</v>
          </cell>
          <cell r="AY230" t="str">
            <v xml:space="preserve">MX </v>
          </cell>
          <cell r="AZ230" t="e">
            <v>#N/A</v>
          </cell>
          <cell r="BB230" t="str">
            <v>AADTD</v>
          </cell>
          <cell r="BC230" t="str">
            <v>AADTD-06.08.2026-(21B3)-EPDC</v>
          </cell>
          <cell r="BE230" t="e">
            <v>#N/A</v>
          </cell>
          <cell r="BF230">
            <v>0</v>
          </cell>
          <cell r="BG230" t="e">
            <v>#N/A</v>
          </cell>
          <cell r="BH230">
            <v>0</v>
          </cell>
          <cell r="BI230" t="e">
            <v>#DIV/0!</v>
          </cell>
          <cell r="BJ230" t="e">
            <v>#N/A</v>
          </cell>
          <cell r="BK230" t="e">
            <v>#DIV/0!</v>
          </cell>
          <cell r="BL230" t="e">
            <v>#DIV/0!</v>
          </cell>
          <cell r="BM230" t="str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 t="str">
            <v>VPAV6H-19C708-XB</v>
          </cell>
        </row>
        <row r="231">
          <cell r="C231" t="str">
            <v>FC2B1F2SMM02</v>
          </cell>
          <cell r="D231">
            <v>120</v>
          </cell>
          <cell r="E231" t="str">
            <v>BRKT/CLIP-A/C LINE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O231">
            <v>0</v>
          </cell>
          <cell r="P231">
            <v>2520</v>
          </cell>
          <cell r="Q231">
            <v>0</v>
          </cell>
          <cell r="R231">
            <v>2520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2520</v>
          </cell>
          <cell r="AW231">
            <v>5100001667</v>
          </cell>
          <cell r="AX231" t="str">
            <v>WTI (USA) LLC</v>
          </cell>
          <cell r="AY231" t="str">
            <v xml:space="preserve">US </v>
          </cell>
          <cell r="AZ231" t="e">
            <v>#N/A</v>
          </cell>
          <cell r="BB231" t="str">
            <v>AADTD</v>
          </cell>
          <cell r="BC231" t="str">
            <v>AADTD-06.08.2026-(21B3)-EPDC</v>
          </cell>
          <cell r="BE231" t="e">
            <v>#N/A</v>
          </cell>
          <cell r="BF231">
            <v>0</v>
          </cell>
          <cell r="BG231">
            <v>1.38</v>
          </cell>
          <cell r="BH231">
            <v>2520</v>
          </cell>
          <cell r="BI231" t="e">
            <v>#DIV/0!</v>
          </cell>
          <cell r="BJ231">
            <v>3477.6</v>
          </cell>
          <cell r="BK231" t="e">
            <v>#DIV/0!</v>
          </cell>
          <cell r="BL231" t="e">
            <v>#DIV/0!</v>
          </cell>
          <cell r="BM231" t="str">
            <v>0</v>
          </cell>
          <cell r="BN231">
            <v>2520</v>
          </cell>
          <cell r="BO231">
            <v>2520</v>
          </cell>
          <cell r="BP231">
            <v>2520</v>
          </cell>
          <cell r="BQ231">
            <v>2520</v>
          </cell>
          <cell r="BR231">
            <v>2520</v>
          </cell>
          <cell r="BS231">
            <v>2520</v>
          </cell>
          <cell r="BT231">
            <v>2520</v>
          </cell>
          <cell r="BU231">
            <v>2520</v>
          </cell>
          <cell r="BV231">
            <v>2520</v>
          </cell>
          <cell r="BW231">
            <v>2520</v>
          </cell>
          <cell r="BY231" t="str">
            <v>EA</v>
          </cell>
        </row>
        <row r="232">
          <cell r="C232" t="str">
            <v>FC1Z0F2S9J01</v>
          </cell>
          <cell r="D232">
            <v>100</v>
          </cell>
          <cell r="E232" t="str">
            <v>HOSE-A/C FORMED-BARRIER GALAXY 3/4 4868</v>
          </cell>
          <cell r="F232">
            <v>0</v>
          </cell>
          <cell r="G232">
            <v>2200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23</v>
          </cell>
          <cell r="N232">
            <v>77</v>
          </cell>
          <cell r="O232">
            <v>0</v>
          </cell>
          <cell r="P232">
            <v>3423</v>
          </cell>
          <cell r="Q232">
            <v>0</v>
          </cell>
          <cell r="R232">
            <v>1200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1200</v>
          </cell>
          <cell r="AV232" t="str">
            <v xml:space="preserve">Servicios </v>
          </cell>
          <cell r="AW232">
            <v>5100005175</v>
          </cell>
          <cell r="AX232" t="str">
            <v>CONTITECH NORTH AMERICA,</v>
          </cell>
          <cell r="AY232" t="str">
            <v xml:space="preserve">US </v>
          </cell>
          <cell r="AZ232">
            <v>9</v>
          </cell>
          <cell r="BB232" t="str">
            <v>AADTD</v>
          </cell>
          <cell r="BC232" t="str">
            <v>AADTD-06.08.2026-(21B3)-JHUB</v>
          </cell>
          <cell r="BE232">
            <v>100</v>
          </cell>
          <cell r="BF232">
            <v>0</v>
          </cell>
          <cell r="BG232">
            <v>2.6669999999999998</v>
          </cell>
          <cell r="BH232">
            <v>3400</v>
          </cell>
          <cell r="BI232" t="e">
            <v>#DIV/0!</v>
          </cell>
          <cell r="BJ232">
            <v>9067.7999999999993</v>
          </cell>
          <cell r="BK232" t="e">
            <v>#DIV/0!</v>
          </cell>
          <cell r="BL232" t="e">
            <v>#DIV/0!</v>
          </cell>
          <cell r="BM232" t="str">
            <v>0</v>
          </cell>
          <cell r="BN232">
            <v>1200</v>
          </cell>
          <cell r="BO232">
            <v>1200</v>
          </cell>
          <cell r="BP232">
            <v>1200</v>
          </cell>
          <cell r="BQ232">
            <v>1200</v>
          </cell>
          <cell r="BR232">
            <v>1200</v>
          </cell>
          <cell r="BS232">
            <v>1200</v>
          </cell>
          <cell r="BT232">
            <v>1200</v>
          </cell>
          <cell r="BU232">
            <v>1200</v>
          </cell>
          <cell r="BV232">
            <v>1200</v>
          </cell>
          <cell r="BW232">
            <v>1200</v>
          </cell>
          <cell r="BY232" t="str">
            <v>EA</v>
          </cell>
        </row>
        <row r="233">
          <cell r="C233" t="str">
            <v>VPEMMH-19D594-AA</v>
          </cell>
          <cell r="D233">
            <v>240</v>
          </cell>
          <cell r="E233" t="str">
            <v>SWITCH - A/C PRESSURE TR ANSDUCER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W233">
            <v>5100001718</v>
          </cell>
          <cell r="AX233" t="str">
            <v>SENSATA TECHNOLOGIES INC</v>
          </cell>
          <cell r="AY233" t="str">
            <v xml:space="preserve">MX </v>
          </cell>
          <cell r="AZ233" t="e">
            <v>#N/A</v>
          </cell>
          <cell r="BB233" t="str">
            <v>AADTD</v>
          </cell>
          <cell r="BC233" t="str">
            <v>AADTD-06.08.2026-(21B3)-EPDC</v>
          </cell>
          <cell r="BE233" t="e">
            <v>#N/A</v>
          </cell>
          <cell r="BF233">
            <v>0</v>
          </cell>
          <cell r="BG233">
            <v>5.3</v>
          </cell>
          <cell r="BH233">
            <v>0</v>
          </cell>
          <cell r="BI233" t="e">
            <v>#DIV/0!</v>
          </cell>
          <cell r="BJ233">
            <v>0</v>
          </cell>
          <cell r="BK233" t="e">
            <v>#DIV/0!</v>
          </cell>
          <cell r="BL233" t="e">
            <v>#DIV/0!</v>
          </cell>
          <cell r="BM233" t="str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Y233" t="str">
            <v>EA</v>
          </cell>
        </row>
        <row r="234">
          <cell r="C234" t="str">
            <v>YR3H-9911-FA0070AE</v>
          </cell>
          <cell r="D234">
            <v>500</v>
          </cell>
          <cell r="E234" t="str">
            <v>Sleeve - NVH Insulator 4mm EPDM Foam Sle</v>
          </cell>
          <cell r="F234">
            <v>12000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235</v>
          </cell>
          <cell r="O234">
            <v>0</v>
          </cell>
          <cell r="P234">
            <v>16114</v>
          </cell>
          <cell r="Q234">
            <v>0</v>
          </cell>
          <cell r="R234">
            <v>3846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1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1</v>
          </cell>
          <cell r="AE234">
            <v>0</v>
          </cell>
          <cell r="AF234">
            <v>0</v>
          </cell>
          <cell r="AG234">
            <v>0</v>
          </cell>
          <cell r="AH234">
            <v>1</v>
          </cell>
          <cell r="AI234">
            <v>1</v>
          </cell>
          <cell r="AJ234">
            <v>1</v>
          </cell>
          <cell r="AK234">
            <v>1</v>
          </cell>
          <cell r="AL234">
            <v>0</v>
          </cell>
          <cell r="AM234">
            <v>1</v>
          </cell>
          <cell r="AN234">
            <v>1</v>
          </cell>
          <cell r="AO234">
            <v>0</v>
          </cell>
          <cell r="AP234">
            <v>2</v>
          </cell>
          <cell r="AQ234">
            <v>0</v>
          </cell>
          <cell r="AR234">
            <v>0</v>
          </cell>
          <cell r="AS234">
            <v>0</v>
          </cell>
          <cell r="AT234">
            <v>3845</v>
          </cell>
          <cell r="AW234">
            <v>5100001898</v>
          </cell>
          <cell r="AX234" t="str">
            <v>COOPER-STANDARD INDUSTRI</v>
          </cell>
          <cell r="AY234" t="str">
            <v xml:space="preserve">US </v>
          </cell>
          <cell r="AZ234" t="e">
            <v>#N/A</v>
          </cell>
          <cell r="BB234" t="str">
            <v>AADTD</v>
          </cell>
          <cell r="BC234" t="str">
            <v>AADTD-06.08.2026-(21B3)-EPDC</v>
          </cell>
          <cell r="BE234">
            <v>0</v>
          </cell>
          <cell r="BF234">
            <v>0.72727272727272729</v>
          </cell>
          <cell r="BG234">
            <v>0.05</v>
          </cell>
          <cell r="BH234">
            <v>15846</v>
          </cell>
          <cell r="BI234">
            <v>21788.25</v>
          </cell>
          <cell r="BJ234">
            <v>792.30000000000007</v>
          </cell>
          <cell r="BK234">
            <v>176910.5</v>
          </cell>
          <cell r="BL234">
            <v>130729.5</v>
          </cell>
          <cell r="BM234" t="str">
            <v>0</v>
          </cell>
          <cell r="BN234">
            <v>3846</v>
          </cell>
          <cell r="BO234">
            <v>3846</v>
          </cell>
          <cell r="BP234">
            <v>3846</v>
          </cell>
          <cell r="BQ234">
            <v>3846</v>
          </cell>
          <cell r="BR234">
            <v>3845</v>
          </cell>
          <cell r="BS234">
            <v>3845</v>
          </cell>
          <cell r="BT234">
            <v>3845</v>
          </cell>
          <cell r="BU234">
            <v>3845</v>
          </cell>
          <cell r="BV234">
            <v>3845</v>
          </cell>
          <cell r="BW234">
            <v>3844</v>
          </cell>
          <cell r="BY234" t="str">
            <v>EA</v>
          </cell>
        </row>
        <row r="235">
          <cell r="C235" t="str">
            <v>FC1B4F2S2U01</v>
          </cell>
          <cell r="D235">
            <v>600</v>
          </cell>
          <cell r="E235" t="str">
            <v>Sleeve Heat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W235">
            <v>5100001667</v>
          </cell>
          <cell r="AX235" t="str">
            <v>FEDERAL-MOGUL POWERTRAIN</v>
          </cell>
          <cell r="AY235" t="str">
            <v xml:space="preserve">US </v>
          </cell>
          <cell r="AZ235" t="e">
            <v>#N/A</v>
          </cell>
          <cell r="BB235" t="str">
            <v>AADTD</v>
          </cell>
          <cell r="BC235" t="str">
            <v>AADTD-06.08.2026-(21B3)-EPDC</v>
          </cell>
          <cell r="BE235" t="e">
            <v>#N/A</v>
          </cell>
          <cell r="BF235">
            <v>0</v>
          </cell>
          <cell r="BG235">
            <v>0.40410000000000001</v>
          </cell>
          <cell r="BH235">
            <v>0</v>
          </cell>
          <cell r="BI235" t="e">
            <v>#DIV/0!</v>
          </cell>
          <cell r="BJ235">
            <v>0</v>
          </cell>
          <cell r="BK235" t="e">
            <v>#DIV/0!</v>
          </cell>
          <cell r="BL235" t="e">
            <v>#DIV/0!</v>
          </cell>
          <cell r="BM235" t="str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Y235" t="str">
            <v>EA</v>
          </cell>
        </row>
        <row r="236">
          <cell r="C236" t="str">
            <v>FC1B4F2S2T01</v>
          </cell>
          <cell r="D236">
            <v>550</v>
          </cell>
          <cell r="E236" t="str">
            <v>SLV HT ALU SELF WRAP D19_T0.9_L0125</v>
          </cell>
          <cell r="F236">
            <v>550</v>
          </cell>
          <cell r="G236">
            <v>550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O236">
            <v>0</v>
          </cell>
          <cell r="P236">
            <v>1400</v>
          </cell>
          <cell r="Q236">
            <v>0</v>
          </cell>
          <cell r="R236">
            <v>300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300</v>
          </cell>
          <cell r="AW236">
            <v>5100001667</v>
          </cell>
          <cell r="AX236" t="str">
            <v>FEDERAL-MOGUL POWERTRAIN</v>
          </cell>
          <cell r="AY236" t="str">
            <v xml:space="preserve">US </v>
          </cell>
          <cell r="AZ236" t="e">
            <v>#N/A</v>
          </cell>
          <cell r="BB236" t="str">
            <v>AADTD</v>
          </cell>
          <cell r="BC236" t="str">
            <v>AADTD-06.08.2026-(21B3)-JHUB</v>
          </cell>
          <cell r="BE236" t="e">
            <v>#N/A</v>
          </cell>
          <cell r="BF236">
            <v>0</v>
          </cell>
          <cell r="BG236">
            <v>0.23150000000000001</v>
          </cell>
          <cell r="BH236">
            <v>1400</v>
          </cell>
          <cell r="BI236" t="e">
            <v>#DIV/0!</v>
          </cell>
          <cell r="BJ236">
            <v>324.10000000000002</v>
          </cell>
          <cell r="BK236" t="e">
            <v>#DIV/0!</v>
          </cell>
          <cell r="BL236" t="e">
            <v>#DIV/0!</v>
          </cell>
          <cell r="BM236" t="str">
            <v>0</v>
          </cell>
          <cell r="BN236">
            <v>300</v>
          </cell>
          <cell r="BO236">
            <v>300</v>
          </cell>
          <cell r="BP236">
            <v>300</v>
          </cell>
          <cell r="BQ236">
            <v>300</v>
          </cell>
          <cell r="BR236">
            <v>300</v>
          </cell>
          <cell r="BS236">
            <v>300</v>
          </cell>
          <cell r="BT236">
            <v>300</v>
          </cell>
          <cell r="BU236">
            <v>300</v>
          </cell>
          <cell r="BV236">
            <v>300</v>
          </cell>
          <cell r="BW236">
            <v>300</v>
          </cell>
          <cell r="BY236" t="str">
            <v>EA</v>
          </cell>
        </row>
        <row r="237">
          <cell r="C237" t="str">
            <v>FC1Z0F2SFB01</v>
          </cell>
          <cell r="D237">
            <v>50</v>
          </cell>
          <cell r="E237" t="str">
            <v>HOSE-A/C FORMED-BARRIER-GALAXY 3/4 4868</v>
          </cell>
          <cell r="F237">
            <v>0</v>
          </cell>
          <cell r="G237">
            <v>1500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15</v>
          </cell>
          <cell r="O237">
            <v>0</v>
          </cell>
          <cell r="P237">
            <v>5380</v>
          </cell>
          <cell r="Q237">
            <v>0</v>
          </cell>
          <cell r="R237">
            <v>3865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3865</v>
          </cell>
          <cell r="AW237">
            <v>5100001667</v>
          </cell>
          <cell r="AX237" t="str">
            <v>CONTITECH NORTH AMERICA,</v>
          </cell>
          <cell r="AY237" t="str">
            <v xml:space="preserve">US </v>
          </cell>
          <cell r="AZ237" t="e">
            <v>#N/A</v>
          </cell>
          <cell r="BB237" t="str">
            <v>AADTD</v>
          </cell>
          <cell r="BC237" t="str">
            <v>AADTD-06.08.2026-(21B3)-JHUB</v>
          </cell>
          <cell r="BE237">
            <v>0</v>
          </cell>
          <cell r="BF237">
            <v>1</v>
          </cell>
          <cell r="BG237">
            <v>3.52</v>
          </cell>
          <cell r="BH237">
            <v>5365</v>
          </cell>
          <cell r="BI237">
            <v>5365</v>
          </cell>
          <cell r="BJ237">
            <v>18884.8</v>
          </cell>
          <cell r="BK237">
            <v>78371</v>
          </cell>
          <cell r="BL237">
            <v>32190</v>
          </cell>
          <cell r="BM237" t="str">
            <v>0</v>
          </cell>
          <cell r="BN237">
            <v>3865</v>
          </cell>
          <cell r="BO237">
            <v>3865</v>
          </cell>
          <cell r="BP237">
            <v>3865</v>
          </cell>
          <cell r="BQ237">
            <v>3865</v>
          </cell>
          <cell r="BR237">
            <v>3865</v>
          </cell>
          <cell r="BS237">
            <v>3865</v>
          </cell>
          <cell r="BT237">
            <v>3865</v>
          </cell>
          <cell r="BU237">
            <v>3865</v>
          </cell>
          <cell r="BV237">
            <v>3865</v>
          </cell>
          <cell r="BW237">
            <v>3865</v>
          </cell>
          <cell r="BY237" t="str">
            <v>EA</v>
          </cell>
        </row>
        <row r="238">
          <cell r="C238" t="str">
            <v>FC1Z0F2S9K01</v>
          </cell>
          <cell r="D238">
            <v>100</v>
          </cell>
          <cell r="E238" t="str">
            <v>PREFORMED HOSE</v>
          </cell>
          <cell r="F238">
            <v>0</v>
          </cell>
          <cell r="G238">
            <v>1700</v>
          </cell>
          <cell r="I238">
            <v>0</v>
          </cell>
          <cell r="M238">
            <v>10</v>
          </cell>
          <cell r="O238">
            <v>0</v>
          </cell>
          <cell r="Q238">
            <v>0</v>
          </cell>
          <cell r="R238">
            <v>747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747</v>
          </cell>
          <cell r="AW238">
            <v>5100001667</v>
          </cell>
          <cell r="AX238" t="str">
            <v>CONTITECH NORTH AMERICA, INC.</v>
          </cell>
          <cell r="AY238" t="str">
            <v xml:space="preserve">US </v>
          </cell>
          <cell r="AZ238" t="e">
            <v>#N/A</v>
          </cell>
          <cell r="BB238" t="str">
            <v>AADTD</v>
          </cell>
          <cell r="BC238" t="str">
            <v>AADTD-06.08.2026-(21B3)-JHUB</v>
          </cell>
          <cell r="BE238">
            <v>2000</v>
          </cell>
          <cell r="BF238">
            <v>0</v>
          </cell>
          <cell r="BG238">
            <v>2.6709999999999998</v>
          </cell>
          <cell r="BH238">
            <v>2447</v>
          </cell>
          <cell r="BI238" t="e">
            <v>#DIV/0!</v>
          </cell>
          <cell r="BJ238">
            <v>6535.9369999999999</v>
          </cell>
          <cell r="BK238" t="e">
            <v>#DIV/0!</v>
          </cell>
          <cell r="BL238" t="e">
            <v>#DIV/0!</v>
          </cell>
          <cell r="BM238" t="str">
            <v>0</v>
          </cell>
          <cell r="BN238">
            <v>747</v>
          </cell>
          <cell r="BO238">
            <v>747</v>
          </cell>
          <cell r="BP238">
            <v>747</v>
          </cell>
          <cell r="BQ238">
            <v>747</v>
          </cell>
          <cell r="BR238">
            <v>747</v>
          </cell>
          <cell r="BS238">
            <v>747</v>
          </cell>
          <cell r="BT238">
            <v>747</v>
          </cell>
          <cell r="BU238">
            <v>747</v>
          </cell>
          <cell r="BV238">
            <v>747</v>
          </cell>
          <cell r="BW238">
            <v>747</v>
          </cell>
          <cell r="BX238" t="str">
            <v>FC1Z0F2S9K01</v>
          </cell>
          <cell r="BY238" t="str">
            <v>EA</v>
          </cell>
        </row>
        <row r="239">
          <cell r="C239" t="str">
            <v>F65A-9F274-AC</v>
          </cell>
          <cell r="D239">
            <v>1100</v>
          </cell>
          <cell r="E239" t="str">
            <v>CLP ASY-FUL LN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11</v>
          </cell>
          <cell r="O239">
            <v>0</v>
          </cell>
          <cell r="P239">
            <v>751</v>
          </cell>
          <cell r="Q239">
            <v>0</v>
          </cell>
          <cell r="R239">
            <v>740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15</v>
          </cell>
          <cell r="AK239">
            <v>4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740</v>
          </cell>
          <cell r="AW239">
            <v>5100001667</v>
          </cell>
          <cell r="AX239" t="str">
            <v>ITW TEKFAST</v>
          </cell>
          <cell r="AY239" t="str">
            <v xml:space="preserve">US </v>
          </cell>
          <cell r="AZ239" t="e">
            <v>#N/A</v>
          </cell>
          <cell r="BB239" t="str">
            <v>AADTD</v>
          </cell>
          <cell r="BC239" t="str">
            <v>AADTD-06.08.2026-(21B3)-EPDC</v>
          </cell>
          <cell r="BE239">
            <v>300</v>
          </cell>
          <cell r="BF239">
            <v>1.7272727272727273</v>
          </cell>
          <cell r="BG239">
            <v>8.8700000000000001E-2</v>
          </cell>
          <cell r="BH239">
            <v>740</v>
          </cell>
          <cell r="BI239">
            <v>428.42105263157896</v>
          </cell>
          <cell r="BJ239">
            <v>65.638000000000005</v>
          </cell>
          <cell r="BK239">
            <v>48751.526315789473</v>
          </cell>
          <cell r="BL239">
            <v>2570.5263157894738</v>
          </cell>
          <cell r="BM239" t="str">
            <v>0</v>
          </cell>
          <cell r="BN239">
            <v>740</v>
          </cell>
          <cell r="BO239">
            <v>740</v>
          </cell>
          <cell r="BP239">
            <v>740</v>
          </cell>
          <cell r="BQ239">
            <v>740</v>
          </cell>
          <cell r="BR239">
            <v>740</v>
          </cell>
          <cell r="BS239">
            <v>740</v>
          </cell>
          <cell r="BT239">
            <v>740</v>
          </cell>
          <cell r="BU239">
            <v>740</v>
          </cell>
          <cell r="BV239">
            <v>740</v>
          </cell>
          <cell r="BW239">
            <v>740</v>
          </cell>
          <cell r="BY239" t="str">
            <v>EA</v>
          </cell>
        </row>
        <row r="240">
          <cell r="C240" t="str">
            <v>FC2G0F2S6A01</v>
          </cell>
          <cell r="D240">
            <v>3000</v>
          </cell>
          <cell r="E240" t="str">
            <v>LABEL-A/C LABEL - A/C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11180</v>
          </cell>
          <cell r="N240">
            <v>-11180</v>
          </cell>
          <cell r="O240">
            <v>0</v>
          </cell>
          <cell r="P240">
            <v>12380</v>
          </cell>
          <cell r="Q240">
            <v>0</v>
          </cell>
          <cell r="R240">
            <v>1200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1200</v>
          </cell>
          <cell r="AW240">
            <v>5100001743</v>
          </cell>
          <cell r="AX240" t="str">
            <v>GENERAL LABELS AND PRINT</v>
          </cell>
          <cell r="AY240" t="str">
            <v xml:space="preserve">US </v>
          </cell>
          <cell r="AZ240">
            <v>9</v>
          </cell>
          <cell r="BB240" t="str">
            <v>AADTD</v>
          </cell>
          <cell r="BC240" t="str">
            <v>AADTD-06.08.2026-(21B3)-EPDC</v>
          </cell>
          <cell r="BE240">
            <v>0</v>
          </cell>
          <cell r="BF240">
            <v>0</v>
          </cell>
          <cell r="BG240">
            <v>9.5689999999999997E-2</v>
          </cell>
          <cell r="BH240">
            <v>1200</v>
          </cell>
          <cell r="BI240" t="e">
            <v>#DIV/0!</v>
          </cell>
          <cell r="BJ240">
            <v>114.828</v>
          </cell>
          <cell r="BK240" t="e">
            <v>#DIV/0!</v>
          </cell>
          <cell r="BL240" t="e">
            <v>#DIV/0!</v>
          </cell>
          <cell r="BM240" t="str">
            <v>0</v>
          </cell>
          <cell r="BN240">
            <v>1200</v>
          </cell>
          <cell r="BO240">
            <v>1200</v>
          </cell>
          <cell r="BP240">
            <v>1200</v>
          </cell>
          <cell r="BQ240">
            <v>1200</v>
          </cell>
          <cell r="BR240">
            <v>1200</v>
          </cell>
          <cell r="BS240">
            <v>1200</v>
          </cell>
          <cell r="BT240">
            <v>1200</v>
          </cell>
          <cell r="BU240">
            <v>1200</v>
          </cell>
          <cell r="BV240">
            <v>1200</v>
          </cell>
          <cell r="BW240">
            <v>1200</v>
          </cell>
          <cell r="BY240" t="str">
            <v>EA</v>
          </cell>
        </row>
        <row r="241">
          <cell r="C241" t="str">
            <v>FC1Z0F2S5L03</v>
          </cell>
          <cell r="D241">
            <v>50</v>
          </cell>
          <cell r="E241" t="str">
            <v>HOSE-A/C FORMED-BARRIER GALAXY 5/8 4886</v>
          </cell>
          <cell r="F241">
            <v>1250</v>
          </cell>
          <cell r="G241">
            <v>8950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O241">
            <v>0</v>
          </cell>
          <cell r="P241">
            <v>34400</v>
          </cell>
          <cell r="Q241">
            <v>0</v>
          </cell>
          <cell r="R241">
            <v>24200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24200</v>
          </cell>
          <cell r="AW241">
            <v>5100001667</v>
          </cell>
          <cell r="AX241" t="str">
            <v>CONTITECH NORTH AMERICA,</v>
          </cell>
          <cell r="AY241" t="str">
            <v xml:space="preserve">US </v>
          </cell>
          <cell r="AZ241" t="e">
            <v>#N/A</v>
          </cell>
          <cell r="BB241" t="str">
            <v>AADTD</v>
          </cell>
          <cell r="BC241" t="str">
            <v>AADTD-06.08.2026-(21B3)-JHUB</v>
          </cell>
          <cell r="BE241">
            <v>0</v>
          </cell>
          <cell r="BF241">
            <v>0</v>
          </cell>
          <cell r="BG241">
            <v>3.2570000000000001</v>
          </cell>
          <cell r="BH241">
            <v>34400</v>
          </cell>
          <cell r="BI241" t="e">
            <v>#DIV/0!</v>
          </cell>
          <cell r="BJ241">
            <v>112040.8</v>
          </cell>
          <cell r="BK241" t="e">
            <v>#DIV/0!</v>
          </cell>
          <cell r="BL241" t="e">
            <v>#DIV/0!</v>
          </cell>
          <cell r="BM241" t="str">
            <v>0</v>
          </cell>
          <cell r="BN241">
            <v>24200</v>
          </cell>
          <cell r="BO241">
            <v>24200</v>
          </cell>
          <cell r="BP241">
            <v>24200</v>
          </cell>
          <cell r="BQ241">
            <v>24200</v>
          </cell>
          <cell r="BR241">
            <v>24200</v>
          </cell>
          <cell r="BS241">
            <v>24200</v>
          </cell>
          <cell r="BT241">
            <v>24200</v>
          </cell>
          <cell r="BU241">
            <v>24200</v>
          </cell>
          <cell r="BV241">
            <v>24200</v>
          </cell>
          <cell r="BW241">
            <v>24200</v>
          </cell>
          <cell r="BY241" t="str">
            <v>EA</v>
          </cell>
        </row>
        <row r="242">
          <cell r="C242" t="str">
            <v>FC1Z0G8V0B02</v>
          </cell>
          <cell r="D242">
            <v>50</v>
          </cell>
          <cell r="E242" t="str">
            <v>HOSE-A/C FORMED-BARRIER</v>
          </cell>
          <cell r="F242">
            <v>0</v>
          </cell>
          <cell r="G242">
            <v>1000</v>
          </cell>
          <cell r="I242">
            <v>0</v>
          </cell>
          <cell r="M242">
            <v>14</v>
          </cell>
          <cell r="N242">
            <v>1986</v>
          </cell>
          <cell r="O242">
            <v>0</v>
          </cell>
          <cell r="Q242">
            <v>0</v>
          </cell>
          <cell r="R242">
            <v>850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850</v>
          </cell>
          <cell r="AV242" t="str">
            <v xml:space="preserve">Servicios </v>
          </cell>
          <cell r="AW242">
            <v>5100005175</v>
          </cell>
          <cell r="AX242" t="str">
            <v>CONTITECH NORTH AMERICA,</v>
          </cell>
          <cell r="AY242" t="str">
            <v xml:space="preserve">US </v>
          </cell>
          <cell r="AZ242">
            <v>9</v>
          </cell>
          <cell r="BB242" t="str">
            <v>AADTD</v>
          </cell>
          <cell r="BC242" t="str">
            <v>AADTD-06.08.2026-(21B3)-JHUB</v>
          </cell>
          <cell r="BE242">
            <v>2000</v>
          </cell>
          <cell r="BF242">
            <v>0</v>
          </cell>
          <cell r="BG242">
            <v>3.4969999999999999</v>
          </cell>
          <cell r="BH242">
            <v>1850</v>
          </cell>
          <cell r="BI242" t="e">
            <v>#DIV/0!</v>
          </cell>
          <cell r="BJ242">
            <v>6469.45</v>
          </cell>
          <cell r="BK242" t="e">
            <v>#DIV/0!</v>
          </cell>
          <cell r="BL242" t="e">
            <v>#DIV/0!</v>
          </cell>
          <cell r="BM242" t="str">
            <v>0</v>
          </cell>
          <cell r="BN242">
            <v>850</v>
          </cell>
          <cell r="BO242">
            <v>850</v>
          </cell>
          <cell r="BP242">
            <v>850</v>
          </cell>
          <cell r="BQ242">
            <v>850</v>
          </cell>
          <cell r="BR242">
            <v>850</v>
          </cell>
          <cell r="BS242">
            <v>850</v>
          </cell>
          <cell r="BT242">
            <v>850</v>
          </cell>
          <cell r="BU242">
            <v>850</v>
          </cell>
          <cell r="BV242">
            <v>850</v>
          </cell>
          <cell r="BW242">
            <v>850</v>
          </cell>
          <cell r="BX242" t="str">
            <v>FC1Z0G8V0B02</v>
          </cell>
          <cell r="BY242" t="str">
            <v>EA</v>
          </cell>
        </row>
        <row r="243">
          <cell r="C243" t="str">
            <v>FC1Z0F2S9N01</v>
          </cell>
          <cell r="D243">
            <v>100</v>
          </cell>
          <cell r="E243" t="str">
            <v>HOSE-A/C FORMED-BARRIER GALAXY 4898 13/3</v>
          </cell>
          <cell r="F243">
            <v>0</v>
          </cell>
          <cell r="G243">
            <v>500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105</v>
          </cell>
          <cell r="N243">
            <v>395</v>
          </cell>
          <cell r="O243">
            <v>2</v>
          </cell>
          <cell r="P243">
            <v>1107</v>
          </cell>
          <cell r="Q243">
            <v>0</v>
          </cell>
          <cell r="R243">
            <v>500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500</v>
          </cell>
          <cell r="AW243">
            <v>5100005175</v>
          </cell>
          <cell r="AX243" t="str">
            <v>CONTITECH NORTH AMERICA,</v>
          </cell>
          <cell r="AY243" t="str">
            <v xml:space="preserve">US </v>
          </cell>
          <cell r="AZ243">
            <v>9</v>
          </cell>
          <cell r="BB243" t="str">
            <v>AADTD</v>
          </cell>
          <cell r="BC243" t="str">
            <v>AADTD-06.08.2026-(21B3)-JHUB</v>
          </cell>
          <cell r="BE243">
            <v>500</v>
          </cell>
          <cell r="BF243">
            <v>0</v>
          </cell>
          <cell r="BG243">
            <v>2.6789999999999998</v>
          </cell>
          <cell r="BH243">
            <v>1002</v>
          </cell>
          <cell r="BI243" t="e">
            <v>#DIV/0!</v>
          </cell>
          <cell r="BJ243">
            <v>2684.3579999999997</v>
          </cell>
          <cell r="BK243" t="e">
            <v>#DIV/0!</v>
          </cell>
          <cell r="BL243" t="e">
            <v>#DIV/0!</v>
          </cell>
          <cell r="BM243" t="str">
            <v>0</v>
          </cell>
          <cell r="BN243">
            <v>500</v>
          </cell>
          <cell r="BO243">
            <v>500</v>
          </cell>
          <cell r="BP243">
            <v>500</v>
          </cell>
          <cell r="BQ243">
            <v>500</v>
          </cell>
          <cell r="BR243">
            <v>500</v>
          </cell>
          <cell r="BS243">
            <v>500</v>
          </cell>
          <cell r="BT243">
            <v>500</v>
          </cell>
          <cell r="BU243">
            <v>500</v>
          </cell>
          <cell r="BV243">
            <v>500</v>
          </cell>
          <cell r="BW243">
            <v>500</v>
          </cell>
          <cell r="BY243" t="str">
            <v>EA</v>
          </cell>
        </row>
        <row r="244">
          <cell r="C244" t="str">
            <v>FE1A5F2SPT04</v>
          </cell>
          <cell r="D244">
            <v>240</v>
          </cell>
          <cell r="E244" t="str">
            <v>THERMAL PRESSURE SWITCH</v>
          </cell>
          <cell r="F244">
            <v>0</v>
          </cell>
          <cell r="G244">
            <v>2880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525</v>
          </cell>
          <cell r="O244">
            <v>0</v>
          </cell>
          <cell r="P244">
            <v>8785</v>
          </cell>
          <cell r="Q244">
            <v>0</v>
          </cell>
          <cell r="R244">
            <v>5380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5380</v>
          </cell>
          <cell r="AW244">
            <v>5100001667</v>
          </cell>
          <cell r="AX244" t="str">
            <v>SENSATA TECHNOLOGIES INC</v>
          </cell>
          <cell r="AY244" t="str">
            <v xml:space="preserve">US </v>
          </cell>
          <cell r="AZ244" t="e">
            <v>#N/A</v>
          </cell>
          <cell r="BB244" t="str">
            <v>AADTD</v>
          </cell>
          <cell r="BC244" t="str">
            <v>AADTD-06.08.2026-(21B3)-JHUB</v>
          </cell>
          <cell r="BE244">
            <v>0</v>
          </cell>
          <cell r="BF244">
            <v>0</v>
          </cell>
          <cell r="BG244">
            <v>9.1180000000000003</v>
          </cell>
          <cell r="BH244">
            <v>8260</v>
          </cell>
          <cell r="BI244" t="e">
            <v>#DIV/0!</v>
          </cell>
          <cell r="BJ244">
            <v>75314.680000000008</v>
          </cell>
          <cell r="BK244" t="e">
            <v>#DIV/0!</v>
          </cell>
          <cell r="BL244" t="e">
            <v>#DIV/0!</v>
          </cell>
          <cell r="BM244" t="str">
            <v>0</v>
          </cell>
          <cell r="BN244">
            <v>5380</v>
          </cell>
          <cell r="BO244">
            <v>5380</v>
          </cell>
          <cell r="BP244">
            <v>5380</v>
          </cell>
          <cell r="BQ244">
            <v>5380</v>
          </cell>
          <cell r="BR244">
            <v>5380</v>
          </cell>
          <cell r="BS244">
            <v>5380</v>
          </cell>
          <cell r="BT244">
            <v>5380</v>
          </cell>
          <cell r="BU244">
            <v>5380</v>
          </cell>
          <cell r="BV244">
            <v>5380</v>
          </cell>
          <cell r="BW244">
            <v>5380</v>
          </cell>
          <cell r="BY244" t="str">
            <v>EA</v>
          </cell>
        </row>
        <row r="247">
          <cell r="AX247" t="str">
            <v>SCHRADER BRIDGEPORT INTE</v>
          </cell>
        </row>
        <row r="265">
          <cell r="H265" t="str">
            <v>1080 m</v>
          </cell>
        </row>
        <row r="266">
          <cell r="H266" t="str">
            <v>400 m</v>
          </cell>
        </row>
        <row r="267">
          <cell r="H267" t="str">
            <v>400 0m</v>
          </cell>
        </row>
        <row r="1494">
          <cell r="R1494">
            <v>8000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">
          <cell r="D2" t="str">
            <v>Number</v>
          </cell>
        </row>
      </sheetData>
      <sheetData sheetId="17" refreshError="1"/>
      <sheetData sheetId="18" refreshError="1"/>
      <sheetData sheetId="19" refreshError="1"/>
      <sheetData sheetId="20">
        <row r="1">
          <cell r="A1" t="str">
            <v>032</v>
          </cell>
          <cell r="B1" t="str">
            <v>1PPW</v>
          </cell>
          <cell r="C1" t="str">
            <v>DOCK</v>
          </cell>
          <cell r="D1" t="str">
            <v>PWIP</v>
          </cell>
          <cell r="E1" t="str">
            <v>QCHH</v>
          </cell>
          <cell r="F1" t="str">
            <v>SL2P</v>
          </cell>
        </row>
        <row r="2">
          <cell r="A2" t="str">
            <v>00218472-01-0000</v>
          </cell>
          <cell r="D2">
            <v>-3420</v>
          </cell>
          <cell r="F2">
            <v>7500</v>
          </cell>
        </row>
        <row r="3">
          <cell r="A3" t="str">
            <v>00297627-01-0000</v>
          </cell>
          <cell r="D3">
            <v>1745</v>
          </cell>
          <cell r="F3">
            <v>33000</v>
          </cell>
        </row>
        <row r="4">
          <cell r="A4" t="str">
            <v>1L2H-048B60-AA</v>
          </cell>
          <cell r="D4">
            <v>32228</v>
          </cell>
          <cell r="F4">
            <v>142800</v>
          </cell>
        </row>
        <row r="5">
          <cell r="A5" t="str">
            <v>1L2H-048B60-EA</v>
          </cell>
          <cell r="C5">
            <v>128520</v>
          </cell>
          <cell r="D5">
            <v>21290</v>
          </cell>
          <cell r="F5">
            <v>39120</v>
          </cell>
        </row>
        <row r="6">
          <cell r="A6" t="str">
            <v>1L2H-048B60-LA</v>
          </cell>
          <cell r="F6">
            <v>15000</v>
          </cell>
        </row>
        <row r="7">
          <cell r="A7" t="str">
            <v>1W1H-19E889-EAS300</v>
          </cell>
          <cell r="C7">
            <v>50000</v>
          </cell>
          <cell r="D7">
            <v>11493</v>
          </cell>
          <cell r="F7">
            <v>53000</v>
          </cell>
        </row>
        <row r="8">
          <cell r="A8" t="str">
            <v>1W1H-19E889-HAS100</v>
          </cell>
          <cell r="D8">
            <v>2507</v>
          </cell>
          <cell r="F8">
            <v>39000</v>
          </cell>
        </row>
        <row r="9">
          <cell r="A9" t="str">
            <v>1W1H-19E889-HAS300</v>
          </cell>
          <cell r="C9">
            <v>65725</v>
          </cell>
          <cell r="D9">
            <v>-5444</v>
          </cell>
          <cell r="F9">
            <v>69000</v>
          </cell>
        </row>
        <row r="10">
          <cell r="A10" t="str">
            <v>2GCH-19E750-CA</v>
          </cell>
          <cell r="B10">
            <v>5000</v>
          </cell>
          <cell r="C10">
            <v>25000</v>
          </cell>
          <cell r="D10">
            <v>328</v>
          </cell>
          <cell r="F10">
            <v>17500</v>
          </cell>
        </row>
        <row r="11">
          <cell r="A11" t="str">
            <v>2GCH-19E750-DA</v>
          </cell>
          <cell r="C11">
            <v>30000</v>
          </cell>
          <cell r="D11">
            <v>-2160</v>
          </cell>
          <cell r="F11">
            <v>20500</v>
          </cell>
        </row>
        <row r="12">
          <cell r="A12" t="str">
            <v>3L8H-19C708-A1A</v>
          </cell>
          <cell r="D12">
            <v>8463354.1999999993</v>
          </cell>
          <cell r="F12">
            <v>8588000</v>
          </cell>
        </row>
        <row r="13">
          <cell r="A13" t="str">
            <v>3L8H-19C708-B1A</v>
          </cell>
          <cell r="D13">
            <v>2208231.2999999998</v>
          </cell>
          <cell r="F13">
            <v>8880000</v>
          </cell>
        </row>
        <row r="14">
          <cell r="A14" t="str">
            <v>3L8H-19C708-D1A</v>
          </cell>
          <cell r="D14">
            <v>3883165</v>
          </cell>
          <cell r="F14">
            <v>6973000</v>
          </cell>
        </row>
        <row r="15">
          <cell r="A15" t="str">
            <v>4644047-003</v>
          </cell>
          <cell r="D15">
            <v>11284</v>
          </cell>
          <cell r="F15">
            <v>14259</v>
          </cell>
        </row>
        <row r="16">
          <cell r="A16" t="str">
            <v>4L2H-19C708-EA</v>
          </cell>
          <cell r="D16">
            <v>715790</v>
          </cell>
          <cell r="F16">
            <v>2765000</v>
          </cell>
        </row>
        <row r="17">
          <cell r="A17" t="str">
            <v>6L2H-19E889-ABS300</v>
          </cell>
          <cell r="D17">
            <v>11400</v>
          </cell>
          <cell r="F17">
            <v>309697</v>
          </cell>
        </row>
        <row r="18">
          <cell r="A18" t="str">
            <v>6L2H-19E889-BBS300</v>
          </cell>
          <cell r="D18">
            <v>6836</v>
          </cell>
          <cell r="F18">
            <v>81331</v>
          </cell>
        </row>
        <row r="19">
          <cell r="A19" t="str">
            <v>6L2H-19E889-CB</v>
          </cell>
          <cell r="C19">
            <v>10000</v>
          </cell>
          <cell r="D19">
            <v>3760</v>
          </cell>
          <cell r="F19">
            <v>52000</v>
          </cell>
        </row>
        <row r="20">
          <cell r="A20" t="str">
            <v>95874-S</v>
          </cell>
          <cell r="C20">
            <v>10000</v>
          </cell>
          <cell r="D20">
            <v>11954</v>
          </cell>
          <cell r="F20">
            <v>85000</v>
          </cell>
        </row>
        <row r="21">
          <cell r="A21" t="str">
            <v>DM1S1F2S1A01</v>
          </cell>
          <cell r="D21">
            <v>92988</v>
          </cell>
          <cell r="F21">
            <v>30000</v>
          </cell>
        </row>
        <row r="22">
          <cell r="A22" t="str">
            <v>E3EH-19D701-A2A</v>
          </cell>
          <cell r="D22">
            <v>2874</v>
          </cell>
        </row>
        <row r="23">
          <cell r="A23" t="str">
            <v>F885-YEHAA-01</v>
          </cell>
          <cell r="C23">
            <v>4200</v>
          </cell>
          <cell r="D23">
            <v>193</v>
          </cell>
          <cell r="F23">
            <v>3520</v>
          </cell>
        </row>
        <row r="24">
          <cell r="A24" t="str">
            <v>FC1A3F2S6C01</v>
          </cell>
          <cell r="C24">
            <v>1000</v>
          </cell>
          <cell r="D24">
            <v>24</v>
          </cell>
          <cell r="F24">
            <v>2000</v>
          </cell>
        </row>
        <row r="25">
          <cell r="A25" t="str">
            <v>FC1A3F2S6E01</v>
          </cell>
          <cell r="C25">
            <v>2000</v>
          </cell>
          <cell r="D25">
            <v>-335</v>
          </cell>
          <cell r="F25">
            <v>10000</v>
          </cell>
        </row>
        <row r="26">
          <cell r="A26" t="str">
            <v>FC1A3F2S6S01</v>
          </cell>
          <cell r="C26">
            <v>1600</v>
          </cell>
          <cell r="D26">
            <v>353</v>
          </cell>
          <cell r="F26">
            <v>3600</v>
          </cell>
        </row>
        <row r="27">
          <cell r="A27" t="str">
            <v>FC1A3F2S6T01</v>
          </cell>
          <cell r="C27">
            <v>2400</v>
          </cell>
          <cell r="D27">
            <v>-349</v>
          </cell>
          <cell r="F27">
            <v>3300</v>
          </cell>
        </row>
        <row r="28">
          <cell r="A28" t="str">
            <v>FC1A5F2S1L01</v>
          </cell>
          <cell r="D28">
            <v>1483</v>
          </cell>
          <cell r="F28">
            <v>7744</v>
          </cell>
        </row>
        <row r="29">
          <cell r="A29" t="str">
            <v>FC1A5F2S1N01</v>
          </cell>
          <cell r="D29">
            <v>50</v>
          </cell>
          <cell r="F29">
            <v>2830</v>
          </cell>
        </row>
        <row r="30">
          <cell r="A30" t="str">
            <v>FC1B1F2S1G01</v>
          </cell>
          <cell r="C30">
            <v>22800</v>
          </cell>
          <cell r="D30">
            <v>11184</v>
          </cell>
          <cell r="F30">
            <v>39000</v>
          </cell>
        </row>
        <row r="31">
          <cell r="A31" t="str">
            <v>FC1B1F2S1H01</v>
          </cell>
          <cell r="C31">
            <v>1500</v>
          </cell>
          <cell r="D31">
            <v>1312</v>
          </cell>
          <cell r="F31">
            <v>9750</v>
          </cell>
        </row>
        <row r="32">
          <cell r="A32" t="str">
            <v>FC1B3F2S1V01</v>
          </cell>
          <cell r="D32">
            <v>289</v>
          </cell>
          <cell r="F32">
            <v>400</v>
          </cell>
        </row>
        <row r="33">
          <cell r="A33" t="str">
            <v>FC1B4F2S2D01</v>
          </cell>
          <cell r="D33">
            <v>713</v>
          </cell>
          <cell r="F33">
            <v>2750</v>
          </cell>
        </row>
        <row r="34">
          <cell r="A34" t="str">
            <v>FC1B4F2S2E01</v>
          </cell>
          <cell r="C34">
            <v>500</v>
          </cell>
          <cell r="D34">
            <v>-331</v>
          </cell>
          <cell r="F34">
            <v>3500</v>
          </cell>
        </row>
        <row r="35">
          <cell r="A35" t="str">
            <v>FC1B4F2S2F01</v>
          </cell>
          <cell r="D35">
            <v>208</v>
          </cell>
          <cell r="F35">
            <v>5000</v>
          </cell>
        </row>
        <row r="36">
          <cell r="A36" t="str">
            <v>FC1B4F2S2G01</v>
          </cell>
          <cell r="C36">
            <v>4500</v>
          </cell>
          <cell r="D36">
            <v>-131</v>
          </cell>
          <cell r="F36">
            <v>7500</v>
          </cell>
        </row>
        <row r="37">
          <cell r="A37" t="str">
            <v>FC1B6F2SAB01</v>
          </cell>
          <cell r="D37">
            <v>-93</v>
          </cell>
          <cell r="F37">
            <v>3500</v>
          </cell>
        </row>
        <row r="38">
          <cell r="A38" t="str">
            <v>FC1C0F2S8L01</v>
          </cell>
          <cell r="C38">
            <v>60000</v>
          </cell>
          <cell r="D38">
            <v>392</v>
          </cell>
          <cell r="F38">
            <v>500</v>
          </cell>
        </row>
        <row r="39">
          <cell r="A39" t="str">
            <v>FC1C0F2SBC01</v>
          </cell>
          <cell r="D39">
            <v>-351</v>
          </cell>
          <cell r="F39">
            <v>1500</v>
          </cell>
        </row>
        <row r="40">
          <cell r="A40" t="str">
            <v>FC1C0F2SBF01</v>
          </cell>
          <cell r="D40">
            <v>-20</v>
          </cell>
          <cell r="F40">
            <v>450</v>
          </cell>
        </row>
        <row r="41">
          <cell r="A41" t="str">
            <v>FC1C0F2SCD01</v>
          </cell>
          <cell r="C41">
            <v>7625</v>
          </cell>
          <cell r="D41">
            <v>-188</v>
          </cell>
          <cell r="F41">
            <v>8250</v>
          </cell>
        </row>
        <row r="42">
          <cell r="A42" t="str">
            <v>FC1E1F2S3X01</v>
          </cell>
          <cell r="D42">
            <v>-8337</v>
          </cell>
          <cell r="F42">
            <v>70505</v>
          </cell>
        </row>
        <row r="43">
          <cell r="A43" t="str">
            <v>FC1U0YTHAA01</v>
          </cell>
          <cell r="C43">
            <v>10000</v>
          </cell>
          <cell r="D43">
            <v>27537</v>
          </cell>
          <cell r="F43">
            <v>28000</v>
          </cell>
        </row>
        <row r="44">
          <cell r="A44" t="str">
            <v>FC1U0YTHCA01</v>
          </cell>
          <cell r="C44">
            <v>30000</v>
          </cell>
          <cell r="D44">
            <v>11104</v>
          </cell>
          <cell r="F44">
            <v>53000</v>
          </cell>
        </row>
        <row r="45">
          <cell r="A45" t="str">
            <v>FC1Z0F2S3G02</v>
          </cell>
          <cell r="C45">
            <v>500</v>
          </cell>
          <cell r="F45">
            <v>326</v>
          </cell>
        </row>
        <row r="46">
          <cell r="A46" t="str">
            <v>FC1Z0F2S5F01</v>
          </cell>
          <cell r="C46">
            <v>900</v>
          </cell>
          <cell r="D46">
            <v>120</v>
          </cell>
          <cell r="F46">
            <v>675</v>
          </cell>
        </row>
        <row r="47">
          <cell r="A47" t="str">
            <v>FC1Z0F2S5G02</v>
          </cell>
          <cell r="C47">
            <v>2550</v>
          </cell>
          <cell r="D47">
            <v>-19</v>
          </cell>
          <cell r="F47">
            <v>123</v>
          </cell>
        </row>
        <row r="48">
          <cell r="A48" t="str">
            <v>FC1Z0F2S6F02</v>
          </cell>
          <cell r="F48">
            <v>50</v>
          </cell>
        </row>
        <row r="49">
          <cell r="A49" t="str">
            <v>FC1Z0F2S7Q01</v>
          </cell>
          <cell r="C49">
            <v>1100</v>
          </cell>
          <cell r="D49">
            <v>491</v>
          </cell>
          <cell r="F49">
            <v>14350</v>
          </cell>
        </row>
        <row r="50">
          <cell r="A50" t="str">
            <v>FC1Z0F2S7S02</v>
          </cell>
          <cell r="C50">
            <v>1000</v>
          </cell>
          <cell r="D50">
            <v>1288</v>
          </cell>
          <cell r="F50">
            <v>3200</v>
          </cell>
        </row>
        <row r="51">
          <cell r="A51" t="str">
            <v>FC1Z0F2S7T01</v>
          </cell>
          <cell r="C51">
            <v>1500</v>
          </cell>
          <cell r="D51">
            <v>1141</v>
          </cell>
          <cell r="F51">
            <v>12300</v>
          </cell>
        </row>
        <row r="52">
          <cell r="A52" t="str">
            <v>FC1Z0F2S7U01</v>
          </cell>
          <cell r="D52">
            <v>790</v>
          </cell>
          <cell r="F52">
            <v>5200</v>
          </cell>
        </row>
        <row r="53">
          <cell r="A53" t="str">
            <v>FC1Z0F2S9H01</v>
          </cell>
          <cell r="D53">
            <v>709</v>
          </cell>
          <cell r="F53">
            <v>3500</v>
          </cell>
        </row>
        <row r="54">
          <cell r="A54" t="str">
            <v>FC1Z0F2S9J01</v>
          </cell>
          <cell r="C54">
            <v>2200</v>
          </cell>
          <cell r="D54">
            <v>23</v>
          </cell>
          <cell r="F54">
            <v>1200</v>
          </cell>
        </row>
        <row r="55">
          <cell r="A55" t="str">
            <v>FC1Z0F2S9M01</v>
          </cell>
          <cell r="D55">
            <v>656</v>
          </cell>
          <cell r="F55">
            <v>1700</v>
          </cell>
        </row>
        <row r="56">
          <cell r="A56" t="str">
            <v>FC1Z0F2S9N01</v>
          </cell>
          <cell r="C56">
            <v>500</v>
          </cell>
          <cell r="D56">
            <v>105</v>
          </cell>
          <cell r="F56">
            <v>500</v>
          </cell>
        </row>
        <row r="57">
          <cell r="A57" t="str">
            <v>FC1Z0F2SAK01</v>
          </cell>
          <cell r="D57">
            <v>231</v>
          </cell>
          <cell r="F57">
            <v>4600</v>
          </cell>
        </row>
        <row r="58">
          <cell r="A58" t="str">
            <v>FC1Z0F2SBF03</v>
          </cell>
          <cell r="C58">
            <v>100</v>
          </cell>
          <cell r="D58">
            <v>50</v>
          </cell>
          <cell r="F58">
            <v>2400</v>
          </cell>
        </row>
        <row r="59">
          <cell r="A59" t="str">
            <v>FC1Z0G8V0A02</v>
          </cell>
          <cell r="C59">
            <v>100</v>
          </cell>
          <cell r="D59">
            <v>93</v>
          </cell>
          <cell r="F59">
            <v>400</v>
          </cell>
        </row>
        <row r="60">
          <cell r="A60" t="str">
            <v>FC1Z0G8V0B02</v>
          </cell>
          <cell r="C60">
            <v>1000</v>
          </cell>
          <cell r="D60">
            <v>14</v>
          </cell>
          <cell r="F60">
            <v>850</v>
          </cell>
        </row>
        <row r="61">
          <cell r="A61" t="str">
            <v>FC2B1F2SED02</v>
          </cell>
          <cell r="C61">
            <v>14000</v>
          </cell>
          <cell r="D61">
            <v>2006</v>
          </cell>
          <cell r="F61">
            <v>11400</v>
          </cell>
        </row>
        <row r="62">
          <cell r="A62" t="str">
            <v>FC2B1F2SGZ01</v>
          </cell>
          <cell r="D62">
            <v>685</v>
          </cell>
          <cell r="F62">
            <v>2000</v>
          </cell>
        </row>
        <row r="63">
          <cell r="A63" t="str">
            <v>FC2B1F2SMG01</v>
          </cell>
          <cell r="C63">
            <v>13150</v>
          </cell>
          <cell r="D63">
            <v>3601</v>
          </cell>
          <cell r="F63">
            <v>11000</v>
          </cell>
        </row>
        <row r="64">
          <cell r="A64" t="str">
            <v>FC2B1F2SMH01</v>
          </cell>
          <cell r="D64">
            <v>30</v>
          </cell>
          <cell r="F64">
            <v>5458</v>
          </cell>
        </row>
        <row r="65">
          <cell r="A65" t="str">
            <v>FC2B1F2SML03</v>
          </cell>
          <cell r="D65">
            <v>367</v>
          </cell>
          <cell r="F65">
            <v>2325</v>
          </cell>
        </row>
        <row r="66">
          <cell r="A66" t="str">
            <v>FC2B1F2SMO01</v>
          </cell>
          <cell r="C66">
            <v>10125</v>
          </cell>
          <cell r="D66">
            <v>6423</v>
          </cell>
          <cell r="F66">
            <v>21625</v>
          </cell>
        </row>
        <row r="67">
          <cell r="A67" t="str">
            <v>FC2B1F2SMP02</v>
          </cell>
          <cell r="D67">
            <v>1686</v>
          </cell>
          <cell r="F67">
            <v>18000</v>
          </cell>
        </row>
        <row r="68">
          <cell r="A68" t="str">
            <v>FC2B1F2SMQ01</v>
          </cell>
          <cell r="C68">
            <v>9600</v>
          </cell>
          <cell r="D68">
            <v>3093</v>
          </cell>
          <cell r="F68">
            <v>7600</v>
          </cell>
        </row>
        <row r="69">
          <cell r="A69" t="str">
            <v>FC2B1F2SNN03</v>
          </cell>
          <cell r="D69">
            <v>874</v>
          </cell>
          <cell r="F69">
            <v>14800</v>
          </cell>
        </row>
        <row r="70">
          <cell r="A70" t="str">
            <v>FC2B1F2STA02</v>
          </cell>
          <cell r="C70">
            <v>6800</v>
          </cell>
          <cell r="D70">
            <v>-79</v>
          </cell>
          <cell r="F70">
            <v>2300</v>
          </cell>
        </row>
        <row r="71">
          <cell r="A71" t="str">
            <v>FC2B1F2STB01</v>
          </cell>
          <cell r="D71">
            <v>520</v>
          </cell>
          <cell r="F71">
            <v>9275</v>
          </cell>
        </row>
        <row r="72">
          <cell r="A72" t="str">
            <v>FC2B1F2STD02</v>
          </cell>
          <cell r="D72">
            <v>413</v>
          </cell>
          <cell r="F72">
            <v>3875</v>
          </cell>
        </row>
        <row r="73">
          <cell r="A73" t="str">
            <v>FC2B1F2STE01</v>
          </cell>
          <cell r="C73">
            <v>14400</v>
          </cell>
          <cell r="D73">
            <v>212</v>
          </cell>
          <cell r="F73">
            <v>2800</v>
          </cell>
        </row>
        <row r="74">
          <cell r="A74" t="str">
            <v>FC2B1F2SUB01</v>
          </cell>
          <cell r="D74">
            <v>4760</v>
          </cell>
          <cell r="F74">
            <v>15400</v>
          </cell>
        </row>
        <row r="75">
          <cell r="A75" t="str">
            <v>FC2B2F2S1K01</v>
          </cell>
          <cell r="D75">
            <v>11109</v>
          </cell>
          <cell r="F75">
            <v>4000</v>
          </cell>
        </row>
        <row r="76">
          <cell r="A76" t="str">
            <v>FC2B2F2S5X01</v>
          </cell>
          <cell r="D76">
            <v>2625</v>
          </cell>
          <cell r="F76">
            <v>13200</v>
          </cell>
        </row>
        <row r="77">
          <cell r="A77" t="str">
            <v>FC2B2F2SAY01</v>
          </cell>
          <cell r="C77">
            <v>2000</v>
          </cell>
          <cell r="D77">
            <v>113</v>
          </cell>
          <cell r="F77">
            <v>6750</v>
          </cell>
        </row>
        <row r="78">
          <cell r="A78" t="str">
            <v>FC2B2F2SLG01</v>
          </cell>
          <cell r="D78">
            <v>80</v>
          </cell>
          <cell r="F78">
            <v>4000</v>
          </cell>
        </row>
        <row r="79">
          <cell r="A79" t="str">
            <v>FC2B2F2SSC01</v>
          </cell>
          <cell r="D79">
            <v>1452</v>
          </cell>
          <cell r="F79">
            <v>4500</v>
          </cell>
        </row>
        <row r="80">
          <cell r="A80" t="str">
            <v>FC2C5F2S3T02</v>
          </cell>
          <cell r="C80">
            <v>6250</v>
          </cell>
          <cell r="D80">
            <v>1321</v>
          </cell>
          <cell r="F80">
            <v>7500</v>
          </cell>
        </row>
        <row r="81">
          <cell r="A81" t="str">
            <v>FC2C5F2S4T02</v>
          </cell>
          <cell r="C81">
            <v>3000</v>
          </cell>
          <cell r="D81">
            <v>1521</v>
          </cell>
          <cell r="F81">
            <v>7000</v>
          </cell>
        </row>
        <row r="82">
          <cell r="A82" t="str">
            <v>FC2C5F2S6T02</v>
          </cell>
          <cell r="C82">
            <v>4000</v>
          </cell>
          <cell r="D82">
            <v>1346</v>
          </cell>
          <cell r="F82">
            <v>2400</v>
          </cell>
        </row>
        <row r="83">
          <cell r="A83" t="str">
            <v>FC2C5F2S7T02</v>
          </cell>
          <cell r="C83">
            <v>8000</v>
          </cell>
          <cell r="D83">
            <v>-1045</v>
          </cell>
          <cell r="F83">
            <v>2000</v>
          </cell>
        </row>
        <row r="84">
          <cell r="A84" t="str">
            <v>FC2C5F2S8T02</v>
          </cell>
          <cell r="C84">
            <v>2000</v>
          </cell>
          <cell r="D84">
            <v>354</v>
          </cell>
          <cell r="F84">
            <v>3800</v>
          </cell>
        </row>
        <row r="85">
          <cell r="A85" t="str">
            <v>FC2G0F2S5Y01</v>
          </cell>
          <cell r="D85">
            <v>8999</v>
          </cell>
          <cell r="F85">
            <v>15500</v>
          </cell>
        </row>
        <row r="86">
          <cell r="A86" t="str">
            <v>FC2G0F2S6A01</v>
          </cell>
          <cell r="D86">
            <v>11180</v>
          </cell>
          <cell r="F86">
            <v>1200</v>
          </cell>
        </row>
        <row r="87">
          <cell r="A87" t="str">
            <v>FC2G0F2SAG01</v>
          </cell>
          <cell r="D87">
            <v>17357</v>
          </cell>
          <cell r="F87">
            <v>6000</v>
          </cell>
        </row>
        <row r="88">
          <cell r="A88" t="str">
            <v>FC2G0F2SBF01</v>
          </cell>
          <cell r="D88">
            <v>12404</v>
          </cell>
          <cell r="F88">
            <v>130000</v>
          </cell>
        </row>
        <row r="89">
          <cell r="A89" t="str">
            <v>FC2G0F2SBG01</v>
          </cell>
          <cell r="D89">
            <v>10748</v>
          </cell>
          <cell r="F89">
            <v>12150</v>
          </cell>
        </row>
        <row r="90">
          <cell r="A90" t="str">
            <v>FC2G0F2SBH01</v>
          </cell>
          <cell r="D90">
            <v>3251</v>
          </cell>
        </row>
        <row r="91">
          <cell r="A91" t="str">
            <v>FC2P0F2SAA03</v>
          </cell>
          <cell r="D91">
            <v>3913</v>
          </cell>
          <cell r="F91">
            <v>18900</v>
          </cell>
        </row>
        <row r="92">
          <cell r="A92" t="str">
            <v>FC2P0F2SBA02</v>
          </cell>
          <cell r="C92">
            <v>2925</v>
          </cell>
          <cell r="D92">
            <v>5302</v>
          </cell>
          <cell r="F92">
            <v>18225</v>
          </cell>
        </row>
        <row r="93">
          <cell r="A93" t="str">
            <v>RM-3G58-D</v>
          </cell>
          <cell r="D93">
            <v>1624660.8</v>
          </cell>
          <cell r="F93">
            <v>23100000</v>
          </cell>
        </row>
        <row r="94">
          <cell r="A94" t="str">
            <v>RM3G5-A</v>
          </cell>
          <cell r="C94">
            <v>3149000</v>
          </cell>
          <cell r="D94">
            <v>-2125205.5</v>
          </cell>
          <cell r="F94">
            <v>9448000</v>
          </cell>
        </row>
        <row r="95">
          <cell r="A95" t="str">
            <v>RMHR00073</v>
          </cell>
          <cell r="D95">
            <v>4784.1000000000004</v>
          </cell>
          <cell r="F95">
            <v>3698000</v>
          </cell>
        </row>
        <row r="96">
          <cell r="A96" t="str">
            <v>RMPL00173</v>
          </cell>
          <cell r="D96">
            <v>1421310</v>
          </cell>
          <cell r="F96">
            <v>1950000</v>
          </cell>
        </row>
        <row r="97">
          <cell r="A97" t="str">
            <v>RMPL00184</v>
          </cell>
          <cell r="D97">
            <v>588318</v>
          </cell>
          <cell r="F97">
            <v>1020000</v>
          </cell>
        </row>
        <row r="98">
          <cell r="A98" t="str">
            <v>RMSA00034</v>
          </cell>
          <cell r="D98">
            <v>479814</v>
          </cell>
          <cell r="F98">
            <v>3300000</v>
          </cell>
        </row>
        <row r="99">
          <cell r="A99" t="str">
            <v>SF0600600</v>
          </cell>
          <cell r="D99">
            <v>31233</v>
          </cell>
          <cell r="E99">
            <v>9000</v>
          </cell>
          <cell r="F99">
            <v>18000</v>
          </cell>
        </row>
        <row r="100">
          <cell r="A100" t="str">
            <v>SR0700101</v>
          </cell>
          <cell r="D100">
            <v>293</v>
          </cell>
          <cell r="F100">
            <v>14950</v>
          </cell>
        </row>
        <row r="101">
          <cell r="A101" t="str">
            <v>T30-RA3000-HS</v>
          </cell>
          <cell r="D101">
            <v>158216</v>
          </cell>
          <cell r="F101">
            <v>294000</v>
          </cell>
        </row>
        <row r="102">
          <cell r="A102" t="str">
            <v>VP6L1H-19D701-AA</v>
          </cell>
          <cell r="C102">
            <v>50000</v>
          </cell>
          <cell r="D102">
            <v>4653</v>
          </cell>
          <cell r="F102">
            <v>85000</v>
          </cell>
        </row>
        <row r="103">
          <cell r="A103" t="str">
            <v>VP6L1H-19D701-BA</v>
          </cell>
          <cell r="D103">
            <v>57977</v>
          </cell>
          <cell r="F103">
            <v>43000</v>
          </cell>
        </row>
        <row r="104">
          <cell r="A104" t="str">
            <v>VP6L2H-19E778-DA</v>
          </cell>
          <cell r="C104">
            <v>4000</v>
          </cell>
          <cell r="D104">
            <v>-1317</v>
          </cell>
          <cell r="F104">
            <v>20000</v>
          </cell>
        </row>
        <row r="105">
          <cell r="A105" t="str">
            <v>VP6L2H-19E778-FC</v>
          </cell>
          <cell r="D105">
            <v>515</v>
          </cell>
          <cell r="F105">
            <v>910</v>
          </cell>
        </row>
        <row r="106">
          <cell r="A106" t="str">
            <v>VP6XPH-18K459-BA</v>
          </cell>
          <cell r="D106">
            <v>2025109</v>
          </cell>
          <cell r="F106">
            <v>5400000</v>
          </cell>
        </row>
        <row r="107">
          <cell r="A107" t="str">
            <v>VP6XPH-18K459-CA</v>
          </cell>
          <cell r="D107">
            <v>3318913</v>
          </cell>
          <cell r="F107">
            <v>6620000</v>
          </cell>
        </row>
        <row r="108">
          <cell r="A108" t="str">
            <v>VP6XPH-19F552-D1A</v>
          </cell>
          <cell r="D108">
            <v>700803</v>
          </cell>
          <cell r="F108">
            <v>942000</v>
          </cell>
        </row>
        <row r="109">
          <cell r="A109" t="str">
            <v>VP7GCH-19E778-AA</v>
          </cell>
          <cell r="C109">
            <v>3000</v>
          </cell>
          <cell r="D109">
            <v>2556</v>
          </cell>
          <cell r="F109">
            <v>4500</v>
          </cell>
        </row>
        <row r="110">
          <cell r="A110" t="str">
            <v>VP7L2H-19E778-AB</v>
          </cell>
          <cell r="C110">
            <v>3000</v>
          </cell>
          <cell r="D110">
            <v>179</v>
          </cell>
          <cell r="F110">
            <v>1500</v>
          </cell>
        </row>
        <row r="111">
          <cell r="A111" t="str">
            <v>VP8L8H-19A593-BA</v>
          </cell>
          <cell r="D111">
            <v>-1264</v>
          </cell>
          <cell r="F111">
            <v>7500</v>
          </cell>
        </row>
        <row r="112">
          <cell r="A112" t="str">
            <v>VP9ASH-19E778-BA</v>
          </cell>
          <cell r="D112">
            <v>648</v>
          </cell>
          <cell r="F112">
            <v>7500</v>
          </cell>
        </row>
        <row r="113">
          <cell r="A113" t="str">
            <v>VP9ASH-19E778-DA</v>
          </cell>
          <cell r="D113">
            <v>2696</v>
          </cell>
          <cell r="F113">
            <v>8000</v>
          </cell>
        </row>
        <row r="114">
          <cell r="A114" t="str">
            <v>VP9ASH-19E778-KA</v>
          </cell>
          <cell r="D114">
            <v>1939</v>
          </cell>
          <cell r="F114">
            <v>3500</v>
          </cell>
        </row>
        <row r="115">
          <cell r="A115" t="str">
            <v>VP9ASH-19E889-AA</v>
          </cell>
          <cell r="D115">
            <v>6914</v>
          </cell>
          <cell r="F115">
            <v>10426</v>
          </cell>
        </row>
        <row r="116">
          <cell r="A116" t="str">
            <v>VP9ASH-19E889-BA</v>
          </cell>
          <cell r="D116">
            <v>-604</v>
          </cell>
          <cell r="F116">
            <v>79384</v>
          </cell>
        </row>
        <row r="117">
          <cell r="A117" t="str">
            <v>VP9ASH-19E889-CA</v>
          </cell>
          <cell r="D117">
            <v>9415</v>
          </cell>
          <cell r="F117">
            <v>18042</v>
          </cell>
        </row>
        <row r="118">
          <cell r="A118" t="str">
            <v>VP9ASH-19E889-DA</v>
          </cell>
          <cell r="D118">
            <v>2519</v>
          </cell>
          <cell r="F118">
            <v>2500</v>
          </cell>
        </row>
        <row r="119">
          <cell r="A119" t="str">
            <v>VP9GCH-19A593-AC</v>
          </cell>
          <cell r="D119">
            <v>122572</v>
          </cell>
          <cell r="F119">
            <v>44500</v>
          </cell>
        </row>
        <row r="120">
          <cell r="A120" t="str">
            <v>VP9GCH-19A593-BC</v>
          </cell>
          <cell r="C120">
            <v>5000</v>
          </cell>
          <cell r="D120">
            <v>53473</v>
          </cell>
          <cell r="F120">
            <v>67500</v>
          </cell>
        </row>
        <row r="121">
          <cell r="A121" t="str">
            <v>VP9GCH-19A593-EC</v>
          </cell>
          <cell r="C121">
            <v>20000</v>
          </cell>
          <cell r="D121">
            <v>99175</v>
          </cell>
          <cell r="F121">
            <v>93500</v>
          </cell>
        </row>
        <row r="122">
          <cell r="A122" t="str">
            <v>VP9L3H-19A593-CA</v>
          </cell>
          <cell r="C122">
            <v>45000</v>
          </cell>
          <cell r="D122">
            <v>22494</v>
          </cell>
          <cell r="F122">
            <v>6200</v>
          </cell>
        </row>
        <row r="123">
          <cell r="A123" t="str">
            <v>VP9L3H-19A593-DA</v>
          </cell>
          <cell r="B123">
            <v>500</v>
          </cell>
          <cell r="C123">
            <v>17500</v>
          </cell>
          <cell r="D123">
            <v>56127</v>
          </cell>
          <cell r="F123">
            <v>42700</v>
          </cell>
        </row>
        <row r="124">
          <cell r="A124" t="str">
            <v>VP9L3H-19E778-CA</v>
          </cell>
          <cell r="C124">
            <v>9000</v>
          </cell>
          <cell r="D124">
            <v>-2267</v>
          </cell>
          <cell r="F124">
            <v>46000</v>
          </cell>
        </row>
        <row r="125">
          <cell r="A125" t="str">
            <v>VP9L3H-19E778-FA</v>
          </cell>
          <cell r="C125">
            <v>6000</v>
          </cell>
          <cell r="D125">
            <v>9988</v>
          </cell>
          <cell r="F125">
            <v>3944</v>
          </cell>
        </row>
        <row r="126">
          <cell r="A126" t="str">
            <v>VPAH2H-50684-AA</v>
          </cell>
          <cell r="D126">
            <v>42178</v>
          </cell>
          <cell r="F126">
            <v>8000</v>
          </cell>
        </row>
        <row r="127">
          <cell r="A127" t="str">
            <v>VPAM6H-19D701-AA</v>
          </cell>
          <cell r="D127">
            <v>102762</v>
          </cell>
          <cell r="F127">
            <v>84000</v>
          </cell>
        </row>
        <row r="128">
          <cell r="A128" t="str">
            <v>VPAR3H-19E778-AA</v>
          </cell>
          <cell r="C128">
            <v>1800</v>
          </cell>
          <cell r="D128">
            <v>3561</v>
          </cell>
          <cell r="F128">
            <v>4500</v>
          </cell>
        </row>
        <row r="129">
          <cell r="A129" t="str">
            <v>VPBK3H-19C819-AA</v>
          </cell>
          <cell r="D129">
            <v>407</v>
          </cell>
          <cell r="F129">
            <v>15600</v>
          </cell>
        </row>
        <row r="130">
          <cell r="A130" t="str">
            <v>VPBK3H-19E754-JC</v>
          </cell>
          <cell r="C130">
            <v>10500</v>
          </cell>
          <cell r="D130">
            <v>1107</v>
          </cell>
          <cell r="F130">
            <v>3363</v>
          </cell>
        </row>
        <row r="131">
          <cell r="A131" t="str">
            <v>VPBK3H-19E754-KB</v>
          </cell>
          <cell r="D131">
            <v>1834</v>
          </cell>
          <cell r="F131">
            <v>11000</v>
          </cell>
        </row>
        <row r="132">
          <cell r="A132" t="str">
            <v>VPDG9H-13N203-BB</v>
          </cell>
          <cell r="C132">
            <v>4500</v>
          </cell>
          <cell r="D132">
            <v>4767</v>
          </cell>
          <cell r="F132">
            <v>13500</v>
          </cell>
        </row>
        <row r="133">
          <cell r="A133" t="str">
            <v>VPDG9H-19E778-AA</v>
          </cell>
          <cell r="D133">
            <v>11910</v>
          </cell>
          <cell r="F133">
            <v>7481</v>
          </cell>
        </row>
        <row r="134">
          <cell r="A134" t="str">
            <v>VPDG9H-19E778-BA</v>
          </cell>
          <cell r="D134">
            <v>-4492</v>
          </cell>
          <cell r="F134">
            <v>118000</v>
          </cell>
        </row>
        <row r="135">
          <cell r="A135" t="str">
            <v>VPDG9H-19E778-CA</v>
          </cell>
          <cell r="D135">
            <v>35773</v>
          </cell>
          <cell r="F135">
            <v>40000</v>
          </cell>
        </row>
        <row r="136">
          <cell r="A136" t="str">
            <v>VPDG9H-19E778-DA</v>
          </cell>
          <cell r="D136">
            <v>19441</v>
          </cell>
          <cell r="F136">
            <v>22500</v>
          </cell>
        </row>
        <row r="137">
          <cell r="A137" t="str">
            <v>VPDG9H-19E778-FA</v>
          </cell>
          <cell r="D137">
            <v>12913</v>
          </cell>
          <cell r="F137">
            <v>25500</v>
          </cell>
        </row>
        <row r="138">
          <cell r="A138" t="str">
            <v>VPDS7H-19D702-AA</v>
          </cell>
          <cell r="C138">
            <v>27000</v>
          </cell>
          <cell r="D138">
            <v>1925</v>
          </cell>
          <cell r="F138">
            <v>5600</v>
          </cell>
        </row>
        <row r="139">
          <cell r="A139" t="str">
            <v>VPEMMH-19D702-AA</v>
          </cell>
          <cell r="D139">
            <v>1978</v>
          </cell>
          <cell r="F139">
            <v>1937</v>
          </cell>
        </row>
        <row r="140">
          <cell r="A140" t="str">
            <v>VPGR3H-048B60-BA</v>
          </cell>
          <cell r="D140">
            <v>13136</v>
          </cell>
          <cell r="F140">
            <v>73500</v>
          </cell>
        </row>
        <row r="141">
          <cell r="A141" t="str">
            <v>VPGV6H-048B60-DA</v>
          </cell>
          <cell r="D141">
            <v>46428</v>
          </cell>
          <cell r="F141">
            <v>86000</v>
          </cell>
        </row>
        <row r="142">
          <cell r="A142" t="str">
            <v>VPGV6H-048B60-EA</v>
          </cell>
          <cell r="D142">
            <v>33019</v>
          </cell>
          <cell r="F142">
            <v>86000</v>
          </cell>
        </row>
        <row r="143">
          <cell r="A143" t="str">
            <v>VPHL3H-048B60-AA</v>
          </cell>
          <cell r="D143">
            <v>8493</v>
          </cell>
          <cell r="F143">
            <v>30000</v>
          </cell>
        </row>
        <row r="144">
          <cell r="A144" t="str">
            <v>VPHL3H-048B60-BA</v>
          </cell>
          <cell r="D144">
            <v>14723</v>
          </cell>
          <cell r="F144">
            <v>10000</v>
          </cell>
        </row>
        <row r="145">
          <cell r="A145" t="str">
            <v>VPHL3H-048B60-CA</v>
          </cell>
          <cell r="D145">
            <v>28392</v>
          </cell>
          <cell r="F145">
            <v>25000</v>
          </cell>
        </row>
        <row r="146">
          <cell r="A146" t="str">
            <v>VPHL3H-048B60-DA</v>
          </cell>
          <cell r="D146">
            <v>-2221</v>
          </cell>
          <cell r="F146">
            <v>48000</v>
          </cell>
        </row>
        <row r="147">
          <cell r="A147" t="str">
            <v>VPJL3H-048B60-AA</v>
          </cell>
          <cell r="D147">
            <v>56252</v>
          </cell>
          <cell r="F147">
            <v>100000</v>
          </cell>
        </row>
        <row r="148">
          <cell r="A148" t="str">
            <v>VPJL3H-048B60-BA</v>
          </cell>
          <cell r="D148">
            <v>33872</v>
          </cell>
          <cell r="F148">
            <v>40000</v>
          </cell>
        </row>
        <row r="149">
          <cell r="A149" t="str">
            <v>VPJL3H-048B60-CA</v>
          </cell>
          <cell r="D149">
            <v>38730</v>
          </cell>
          <cell r="F149">
            <v>54500</v>
          </cell>
        </row>
        <row r="150">
          <cell r="A150" t="str">
            <v>VPJL3H-048B60-DA</v>
          </cell>
          <cell r="D150">
            <v>5014</v>
          </cell>
          <cell r="F150">
            <v>9950</v>
          </cell>
        </row>
        <row r="151">
          <cell r="A151" t="str">
            <v>VPJL3H-048B60-EA</v>
          </cell>
          <cell r="C151">
            <v>90000</v>
          </cell>
          <cell r="D151">
            <v>130475</v>
          </cell>
          <cell r="F151">
            <v>95000</v>
          </cell>
        </row>
        <row r="152">
          <cell r="A152" t="str">
            <v>W525100-S437</v>
          </cell>
          <cell r="D152">
            <v>19424</v>
          </cell>
          <cell r="F152">
            <v>155000</v>
          </cell>
        </row>
        <row r="153">
          <cell r="A153" t="str">
            <v>W701890-S439</v>
          </cell>
          <cell r="C153">
            <v>67000</v>
          </cell>
          <cell r="D153">
            <v>16260</v>
          </cell>
          <cell r="F153">
            <v>37000</v>
          </cell>
        </row>
        <row r="154">
          <cell r="A154" t="str">
            <v>XW4H-19C708-AA</v>
          </cell>
          <cell r="C154">
            <v>991000</v>
          </cell>
          <cell r="D154">
            <v>-65122.2</v>
          </cell>
          <cell r="F154">
            <v>625000</v>
          </cell>
        </row>
        <row r="155">
          <cell r="A155" t="str">
            <v>YC1H-18N332-AA</v>
          </cell>
          <cell r="C155">
            <v>500</v>
          </cell>
          <cell r="D155">
            <v>716</v>
          </cell>
          <cell r="F155">
            <v>750</v>
          </cell>
        </row>
        <row r="156">
          <cell r="A156" t="str">
            <v>YR3H-18K459-AAA</v>
          </cell>
          <cell r="D156">
            <v>1889850</v>
          </cell>
        </row>
        <row r="157">
          <cell r="A157" t="str">
            <v>YR3H-18K459-BAA</v>
          </cell>
          <cell r="D157">
            <v>1040709</v>
          </cell>
          <cell r="F157">
            <v>9906000</v>
          </cell>
        </row>
        <row r="158">
          <cell r="A158" t="str">
            <v>YR3H-18K459-CAA</v>
          </cell>
          <cell r="D158">
            <v>-2163254</v>
          </cell>
          <cell r="F158">
            <v>34160000</v>
          </cell>
        </row>
        <row r="159">
          <cell r="A159" t="str">
            <v>YR3H-18K459-FAA</v>
          </cell>
          <cell r="D159">
            <v>2066616</v>
          </cell>
          <cell r="F159">
            <v>10971000</v>
          </cell>
        </row>
        <row r="160">
          <cell r="A160" t="str">
            <v>YR3H-18K459-HAA</v>
          </cell>
          <cell r="D160">
            <v>1226365</v>
          </cell>
          <cell r="F160">
            <v>1220000</v>
          </cell>
        </row>
        <row r="161">
          <cell r="A161" t="str">
            <v>YR3H-9911-FA0105AE</v>
          </cell>
          <cell r="F161">
            <v>4980</v>
          </cell>
        </row>
        <row r="162">
          <cell r="A162" t="str">
            <v>Z350-GY15-A01</v>
          </cell>
          <cell r="D162">
            <v>638941.6</v>
          </cell>
          <cell r="F162">
            <v>9634000</v>
          </cell>
        </row>
      </sheetData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CE33-75E7-4354-B413-1E72C29B698A}">
  <dimension ref="A1:AG162"/>
  <sheetViews>
    <sheetView tabSelected="1" topLeftCell="G1" zoomScale="80" zoomScaleNormal="80" workbookViewId="0">
      <selection activeCell="AE2" sqref="AE2"/>
    </sheetView>
  </sheetViews>
  <sheetFormatPr baseColWidth="10" defaultColWidth="8.85546875" defaultRowHeight="15" x14ac:dyDescent="0.25"/>
  <cols>
    <col min="1" max="2" width="11.28515625" style="3" bestFit="1" customWidth="1"/>
    <col min="3" max="3" width="13" style="3" bestFit="1" customWidth="1"/>
    <col min="4" max="4" width="20.28515625" style="4" bestFit="1" customWidth="1"/>
    <col min="5" max="5" width="40.7109375" style="3" bestFit="1" customWidth="1"/>
    <col min="6" max="6" width="31" style="6" bestFit="1" customWidth="1"/>
    <col min="7" max="7" width="10" style="3" bestFit="1" customWidth="1"/>
    <col min="8" max="8" width="12.42578125" style="3" bestFit="1" customWidth="1"/>
    <col min="9" max="9" width="15.28515625" style="3" bestFit="1" customWidth="1"/>
    <col min="10" max="10" width="10.5703125" style="3" bestFit="1" customWidth="1"/>
    <col min="11" max="11" width="16" style="3" bestFit="1" customWidth="1"/>
    <col min="12" max="12" width="13.85546875" style="3" bestFit="1" customWidth="1"/>
    <col min="13" max="13" width="12" style="3" bestFit="1" customWidth="1"/>
    <col min="14" max="14" width="11.5703125" style="3" bestFit="1" customWidth="1"/>
    <col min="15" max="15" width="11.42578125" style="3" bestFit="1" customWidth="1"/>
    <col min="16" max="16" width="12" style="3" bestFit="1" customWidth="1"/>
    <col min="17" max="17" width="10.85546875" style="3" bestFit="1" customWidth="1"/>
    <col min="18" max="18" width="12.85546875" style="4" bestFit="1" customWidth="1"/>
    <col min="19" max="19" width="18.140625" style="4" bestFit="1" customWidth="1"/>
    <col min="20" max="20" width="12" style="3" bestFit="1" customWidth="1"/>
    <col min="21" max="21" width="11.5703125" style="3" bestFit="1" customWidth="1"/>
    <col min="22" max="22" width="11.42578125" style="3" bestFit="1" customWidth="1"/>
    <col min="23" max="23" width="12" style="3" bestFit="1" customWidth="1"/>
    <col min="24" max="24" width="10.85546875" style="3" bestFit="1" customWidth="1"/>
    <col min="25" max="25" width="14.85546875" style="3" bestFit="1" customWidth="1"/>
    <col min="26" max="26" width="14.42578125" style="4" bestFit="1" customWidth="1"/>
    <col min="27" max="27" width="9.42578125" style="4" bestFit="1" customWidth="1"/>
    <col min="28" max="28" width="15" style="5" bestFit="1" customWidth="1"/>
    <col min="29" max="29" width="15.85546875" style="4" bestFit="1" customWidth="1"/>
    <col min="30" max="30" width="12" style="3" bestFit="1" customWidth="1"/>
    <col min="31" max="31" width="19.5703125" style="2" bestFit="1" customWidth="1"/>
    <col min="32" max="32" width="8.85546875" style="1"/>
    <col min="33" max="33" width="11" style="1" bestFit="1" customWidth="1"/>
    <col min="34" max="16384" width="8.85546875" style="1"/>
  </cols>
  <sheetData>
    <row r="1" spans="1:33" x14ac:dyDescent="0.25">
      <c r="A1" s="35" t="s">
        <v>185</v>
      </c>
      <c r="B1" s="32" t="s">
        <v>184</v>
      </c>
      <c r="C1" s="34" t="s">
        <v>183</v>
      </c>
      <c r="D1" s="33" t="s">
        <v>182</v>
      </c>
      <c r="E1" s="32" t="s">
        <v>181</v>
      </c>
      <c r="F1" s="32" t="s">
        <v>180</v>
      </c>
      <c r="G1" s="29" t="s">
        <v>179</v>
      </c>
      <c r="H1" s="29" t="s">
        <v>178</v>
      </c>
      <c r="I1" s="29" t="s">
        <v>177</v>
      </c>
      <c r="J1" s="32" t="s">
        <v>176</v>
      </c>
      <c r="K1" s="29" t="s">
        <v>175</v>
      </c>
      <c r="L1" s="29" t="s">
        <v>174</v>
      </c>
      <c r="M1" s="29" t="s">
        <v>172</v>
      </c>
      <c r="N1" s="29" t="s">
        <v>171</v>
      </c>
      <c r="O1" s="29" t="s">
        <v>170</v>
      </c>
      <c r="P1" s="29" t="s">
        <v>169</v>
      </c>
      <c r="Q1" s="29" t="s">
        <v>168</v>
      </c>
      <c r="R1" s="31" t="s">
        <v>186</v>
      </c>
      <c r="S1" s="30" t="s">
        <v>173</v>
      </c>
      <c r="T1" s="29" t="s">
        <v>172</v>
      </c>
      <c r="U1" s="29" t="s">
        <v>171</v>
      </c>
      <c r="V1" s="29" t="s">
        <v>170</v>
      </c>
      <c r="W1" s="29" t="s">
        <v>169</v>
      </c>
      <c r="X1" s="29" t="s">
        <v>168</v>
      </c>
      <c r="Y1" s="29" t="s">
        <v>187</v>
      </c>
      <c r="Z1" s="28" t="s">
        <v>167</v>
      </c>
      <c r="AA1" s="28" t="s">
        <v>166</v>
      </c>
      <c r="AB1" s="27" t="s">
        <v>165</v>
      </c>
      <c r="AC1" s="26" t="s">
        <v>164</v>
      </c>
      <c r="AD1" s="25" t="s">
        <v>163</v>
      </c>
      <c r="AE1" s="24" t="s">
        <v>188</v>
      </c>
    </row>
    <row r="2" spans="1:33" x14ac:dyDescent="0.25">
      <c r="A2" s="22">
        <f t="shared" ref="A2:A33" ca="1" si="0">TODAY()</f>
        <v>46182</v>
      </c>
      <c r="B2" s="21" t="s">
        <v>2</v>
      </c>
      <c r="C2" s="20" t="s">
        <v>1</v>
      </c>
      <c r="D2" s="4" t="s">
        <v>162</v>
      </c>
      <c r="E2" s="3" t="str">
        <f>VLOOKUP(D2,'[1]ANALISIS (NEW)'!C:E,3,FALSE)</f>
        <v>VALVE CORE A/C CHARGE VA LVE</v>
      </c>
      <c r="F2" s="19" t="str">
        <f>VLOOKUP(D2,'[1]ANALISIS (NEW)'!C:AX,48,FALSE)</f>
        <v>SCHRADER BRIDGEPORT INTE</v>
      </c>
      <c r="G2" s="15" t="str">
        <f>VLOOKUP(D:D,'[1]ANALISIS (NEW)'!C:BY,75,FALSE)</f>
        <v>EA</v>
      </c>
      <c r="H2" s="18" t="str">
        <f>VLOOKUP(D2,'[1]ANALISIS (NEW)'!C:BF,49,FALSE)</f>
        <v xml:space="preserve">US </v>
      </c>
      <c r="I2" s="17">
        <f>VLOOKUP(D2,'[1]ANALISIS (NEW)'!C:BF,50,FALSE)</f>
        <v>9</v>
      </c>
      <c r="J2" s="16">
        <f>VLOOKUP(D2,'[1]ANALISIS (NEW)'!C:BG,57,FALSE)</f>
        <v>0.31</v>
      </c>
      <c r="K2" s="15">
        <f>VLOOKUP(D2,'[1]ANALISIS (NEW)'!C:BF,56,FALSE)</f>
        <v>27875.18181818182</v>
      </c>
      <c r="L2" s="14">
        <v>28000</v>
      </c>
      <c r="M2" s="14">
        <f>VLOOKUP(D2,'[1]Inv Sem 23 pzas '!A:F,2,FALSE)</f>
        <v>0</v>
      </c>
      <c r="N2" s="14">
        <f>VLOOKUP(D2,'[1]Inv Sem 23 pzas '!A:F,3,FALSE)</f>
        <v>0</v>
      </c>
      <c r="O2" s="14">
        <f>VLOOKUP(D2,'[1]Inv Sem 23 pzas '!A:F,4,FALSE)</f>
        <v>102762</v>
      </c>
      <c r="P2" s="14">
        <f>VLOOKUP(D2,'[1]Inv Sem 23 pzas '!A:F,5,FALSE)</f>
        <v>0</v>
      </c>
      <c r="Q2" s="14">
        <f>VLOOKUP(D2,'[1]Inv Sem 23 pzas '!A:F,6,FALSE)</f>
        <v>84000</v>
      </c>
      <c r="R2" s="13">
        <f t="shared" ref="R2:R33" si="1">SUM(L2:Q2)</f>
        <v>214762</v>
      </c>
      <c r="S2" s="12">
        <f t="shared" ref="S2:S33" si="2">J2*R2</f>
        <v>66576.22</v>
      </c>
      <c r="T2" s="11">
        <f t="shared" ref="T2:T33" si="3">IFERROR(M2/K2,0)</f>
        <v>0</v>
      </c>
      <c r="U2" s="11">
        <f t="shared" ref="U2:U33" si="4">IFERROR(N2/K2,0)</f>
        <v>0</v>
      </c>
      <c r="V2" s="11">
        <f t="shared" ref="V2:V33" si="5">IFERROR(O2/K2,0)</f>
        <v>3.686505102290405</v>
      </c>
      <c r="W2" s="11">
        <f t="shared" ref="W2:W33" si="6">IFERROR(P2/K2,0)</f>
        <v>0</v>
      </c>
      <c r="X2" s="11">
        <f t="shared" ref="X2:X33" si="7">IFERROR(Q2/K2,0)</f>
        <v>3.0134332593020181</v>
      </c>
      <c r="Y2" s="11">
        <f t="shared" ref="Y2:Y33" si="8">L2/K2</f>
        <v>1.0044777531006728</v>
      </c>
      <c r="Z2" s="9">
        <f t="shared" ref="Z2:Z33" si="9">SUM(T2:Y2)</f>
        <v>7.7044161146930961</v>
      </c>
      <c r="AA2" s="9">
        <f t="shared" ref="AA2:AA33" si="10">(I2+7)/7</f>
        <v>2.2857142857142856</v>
      </c>
      <c r="AB2" s="10">
        <f t="shared" ref="AB2:AB33" si="11">AA2*K2*J2</f>
        <v>19751.557402597402</v>
      </c>
      <c r="AC2" s="9">
        <f>Z2-AA2</f>
        <v>5.4187018289788105</v>
      </c>
      <c r="AD2" s="8">
        <f>AC2*K2</f>
        <v>151047.29870129871</v>
      </c>
      <c r="AE2" s="7">
        <f>AD2*J2</f>
        <v>46824.662597402603</v>
      </c>
    </row>
    <row r="3" spans="1:33" x14ac:dyDescent="0.25">
      <c r="A3" s="22">
        <f t="shared" ca="1" si="0"/>
        <v>46182</v>
      </c>
      <c r="B3" s="21" t="s">
        <v>2</v>
      </c>
      <c r="C3" s="20" t="s">
        <v>1</v>
      </c>
      <c r="D3" s="4" t="s">
        <v>161</v>
      </c>
      <c r="E3" s="3" t="str">
        <f>VLOOKUP(D3,'[1]ANALISIS (NEW)'!C:E,3,FALSE)</f>
        <v>GASKET A/C LINE SEALING MSF 8MM</v>
      </c>
      <c r="F3" s="19" t="str">
        <f>VLOOKUP(D3,'[1]ANALISIS (NEW)'!C:AX,48,FALSE)</f>
        <v>PARKER HANNIFIN CORPORAT</v>
      </c>
      <c r="G3" s="15" t="str">
        <f>VLOOKUP(D:D,'[1]ANALISIS (NEW)'!C:BY,75,FALSE)</f>
        <v>EA</v>
      </c>
      <c r="H3" s="18" t="str">
        <f>VLOOKUP(D3,'[1]ANALISIS (NEW)'!C:BF,49,FALSE)</f>
        <v xml:space="preserve">US </v>
      </c>
      <c r="I3" s="17">
        <f>VLOOKUP(D3,'[1]ANALISIS (NEW)'!C:BF,50,FALSE)</f>
        <v>9</v>
      </c>
      <c r="J3" s="16">
        <f>VLOOKUP(D3,'[1]ANALISIS (NEW)'!C:BG,57,FALSE)</f>
        <v>0.23</v>
      </c>
      <c r="K3" s="15">
        <f>VLOOKUP(D3,'[1]ANALISIS (NEW)'!C:BF,56,FALSE)</f>
        <v>36643.727272727272</v>
      </c>
      <c r="L3" s="14">
        <v>25000</v>
      </c>
      <c r="M3" s="14">
        <f>VLOOKUP(D3,'[1]Inv Sem 23 pzas '!A:F,2,FALSE)</f>
        <v>0</v>
      </c>
      <c r="N3" s="14">
        <f>VLOOKUP(D3,'[1]Inv Sem 23 pzas '!A:F,3,FALSE)</f>
        <v>20000</v>
      </c>
      <c r="O3" s="14">
        <f>VLOOKUP(D3,'[1]Inv Sem 23 pzas '!A:F,4,FALSE)</f>
        <v>99175</v>
      </c>
      <c r="P3" s="14">
        <f>VLOOKUP(D3,'[1]Inv Sem 23 pzas '!A:F,5,FALSE)</f>
        <v>0</v>
      </c>
      <c r="Q3" s="14">
        <f>VLOOKUP(D3,'[1]Inv Sem 23 pzas '!A:F,6,FALSE)</f>
        <v>93500</v>
      </c>
      <c r="R3" s="13">
        <f t="shared" si="1"/>
        <v>237675</v>
      </c>
      <c r="S3" s="12">
        <f t="shared" si="2"/>
        <v>54665.25</v>
      </c>
      <c r="T3" s="11">
        <f t="shared" si="3"/>
        <v>0</v>
      </c>
      <c r="U3" s="11">
        <f t="shared" si="4"/>
        <v>0.54579600626176872</v>
      </c>
      <c r="V3" s="11">
        <f t="shared" si="5"/>
        <v>2.7064659460505456</v>
      </c>
      <c r="W3" s="11">
        <f t="shared" si="6"/>
        <v>0</v>
      </c>
      <c r="X3" s="11">
        <f t="shared" si="7"/>
        <v>2.5515963292737687</v>
      </c>
      <c r="Y3" s="11">
        <f t="shared" si="8"/>
        <v>0.68224500782721087</v>
      </c>
      <c r="Z3" s="9">
        <f t="shared" si="9"/>
        <v>6.4861032894132933</v>
      </c>
      <c r="AA3" s="9">
        <f t="shared" si="10"/>
        <v>2.2857142857142856</v>
      </c>
      <c r="AB3" s="10">
        <f t="shared" si="11"/>
        <v>19264.130909090909</v>
      </c>
      <c r="AC3" s="9">
        <f t="shared" ref="AC2:AC33" si="12">Z3-AA3</f>
        <v>4.2003890036990077</v>
      </c>
      <c r="AD3" s="8">
        <f t="shared" ref="AD2:AD33" si="13">AC3*K3</f>
        <v>153917.90909090906</v>
      </c>
      <c r="AE3" s="7">
        <f t="shared" ref="AE2:AE33" si="14">AD3*J3</f>
        <v>35401.119090909087</v>
      </c>
    </row>
    <row r="4" spans="1:33" x14ac:dyDescent="0.25">
      <c r="A4" s="22">
        <f t="shared" ca="1" si="0"/>
        <v>46182</v>
      </c>
      <c r="B4" s="21" t="s">
        <v>2</v>
      </c>
      <c r="C4" s="20" t="s">
        <v>1</v>
      </c>
      <c r="D4" s="4" t="s">
        <v>160</v>
      </c>
      <c r="E4" s="3" t="str">
        <f>VLOOKUP(D4,'[1]ANALISIS (NEW)'!C:E,3,FALSE)</f>
        <v>GASKET - A/C LINE SEALIN G</v>
      </c>
      <c r="F4" s="19" t="str">
        <f>VLOOKUP(D4,'[1]ANALISIS (NEW)'!C:AX,48,FALSE)</f>
        <v>PARKER HANNIFIN CORPORAT</v>
      </c>
      <c r="G4" s="15" t="str">
        <f>VLOOKUP(D:D,'[1]ANALISIS (NEW)'!C:BY,75,FALSE)</f>
        <v>EA</v>
      </c>
      <c r="H4" s="18" t="str">
        <f>VLOOKUP(D4,'[1]ANALISIS (NEW)'!C:BF,49,FALSE)</f>
        <v xml:space="preserve">US </v>
      </c>
      <c r="I4" s="17">
        <v>9</v>
      </c>
      <c r="J4" s="16">
        <f>VLOOKUP(D4,'[1]ANALISIS (NEW)'!C:BG,57,FALSE)</f>
        <v>0.31680000000000003</v>
      </c>
      <c r="K4" s="15">
        <f>VLOOKUP(D4,'[1]ANALISIS (NEW)'!C:BF,56,FALSE)</f>
        <v>33386.909090909088</v>
      </c>
      <c r="L4" s="14">
        <v>60000</v>
      </c>
      <c r="M4" s="14">
        <f>VLOOKUP(D4,'[1]Inv Sem 23 pzas '!A:F,2,FALSE)</f>
        <v>500</v>
      </c>
      <c r="N4" s="14">
        <f>VLOOKUP(D4,'[1]Inv Sem 23 pzas '!A:F,3,FALSE)</f>
        <v>17500</v>
      </c>
      <c r="O4" s="14">
        <f>VLOOKUP(D4,'[1]Inv Sem 23 pzas '!A:F,4,FALSE)</f>
        <v>56127</v>
      </c>
      <c r="P4" s="14">
        <f>VLOOKUP(D4,'[1]Inv Sem 23 pzas '!A:F,5,FALSE)</f>
        <v>0</v>
      </c>
      <c r="Q4" s="14">
        <f>VLOOKUP(D4,'[1]Inv Sem 23 pzas '!A:F,6,FALSE)</f>
        <v>42700</v>
      </c>
      <c r="R4" s="13">
        <f t="shared" si="1"/>
        <v>176827</v>
      </c>
      <c r="S4" s="12">
        <f t="shared" si="2"/>
        <v>56018.793600000005</v>
      </c>
      <c r="T4" s="11">
        <f t="shared" si="3"/>
        <v>1.4975929596793518E-2</v>
      </c>
      <c r="U4" s="11">
        <f t="shared" si="4"/>
        <v>0.52415753588777314</v>
      </c>
      <c r="V4" s="11">
        <f t="shared" si="5"/>
        <v>1.6811080009584596</v>
      </c>
      <c r="W4" s="11">
        <f t="shared" si="6"/>
        <v>0</v>
      </c>
      <c r="X4" s="11">
        <f t="shared" si="7"/>
        <v>1.2789443875661666</v>
      </c>
      <c r="Y4" s="11">
        <f t="shared" si="8"/>
        <v>1.7971115516152223</v>
      </c>
      <c r="Z4" s="9">
        <f t="shared" si="9"/>
        <v>5.296297405624415</v>
      </c>
      <c r="AA4" s="9">
        <f t="shared" si="10"/>
        <v>2.2857142857142856</v>
      </c>
      <c r="AB4" s="10">
        <f t="shared" si="11"/>
        <v>24175.937828571427</v>
      </c>
      <c r="AC4" s="9">
        <f t="shared" si="12"/>
        <v>3.0105831199101294</v>
      </c>
      <c r="AD4" s="8">
        <f t="shared" si="13"/>
        <v>100514.06493506495</v>
      </c>
      <c r="AE4" s="7">
        <f t="shared" si="14"/>
        <v>31842.855771428578</v>
      </c>
    </row>
    <row r="5" spans="1:33" x14ac:dyDescent="0.25">
      <c r="A5" s="22">
        <f t="shared" ca="1" si="0"/>
        <v>46182</v>
      </c>
      <c r="B5" s="21" t="s">
        <v>2</v>
      </c>
      <c r="C5" s="20" t="s">
        <v>1</v>
      </c>
      <c r="D5" s="4" t="s">
        <v>159</v>
      </c>
      <c r="E5" s="3" t="str">
        <f>VLOOKUP(D5,'[1]ANALISIS (NEW)'!C:E,3,FALSE)</f>
        <v>TAPE - POLYKEN</v>
      </c>
      <c r="F5" s="19" t="str">
        <f>VLOOKUP(D5,'[1]ANALISIS (NEW)'!C:AX,48,FALSE)</f>
        <v>SUPPLY TECHNOLOGIES  LLC</v>
      </c>
      <c r="G5" s="15" t="str">
        <f>VLOOKUP(D:D,'[1]ANALISIS (NEW)'!C:BY,75,FALSE)</f>
        <v>MM</v>
      </c>
      <c r="H5" s="18" t="str">
        <f>VLOOKUP(D5,'[1]ANALISIS (NEW)'!C:BF,49,FALSE)</f>
        <v xml:space="preserve">US </v>
      </c>
      <c r="I5" s="17">
        <f>VLOOKUP(D5,'[1]ANALISIS (NEW)'!C:BF,50,FALSE)</f>
        <v>9</v>
      </c>
      <c r="J5" s="16">
        <f>VLOOKUP(D5,'[1]ANALISIS (NEW)'!C:BG,57,FALSE)*1000</f>
        <v>0.87</v>
      </c>
      <c r="K5" s="15">
        <f>VLOOKUP(D5,'[1]ANALISIS (NEW)'!C:BF,56,FALSE)</f>
        <v>6853.108290909091</v>
      </c>
      <c r="L5" s="14">
        <v>25200</v>
      </c>
      <c r="M5" s="14">
        <f>VLOOKUP(D5,'[1]Inv Sem 23 pzas '!A:F,2,FALSE)/1000</f>
        <v>0</v>
      </c>
      <c r="N5" s="14">
        <f>VLOOKUP(D5,'[1]Inv Sem 23 pzas '!A:F,3,FALSE)/1000</f>
        <v>0</v>
      </c>
      <c r="O5" s="14">
        <f>VLOOKUP(D5,'[1]Inv Sem 23 pzas '!A:F,4,FALSE)/1000</f>
        <v>1624.6608000000001</v>
      </c>
      <c r="P5" s="14">
        <f>VLOOKUP(D5,'[1]Inv Sem 23 pzas '!A:F,5,FALSE)</f>
        <v>0</v>
      </c>
      <c r="Q5" s="14">
        <f>VLOOKUP(D5,'[1]Inv Sem 23 pzas '!A:F,6,FALSE)/1000</f>
        <v>23100</v>
      </c>
      <c r="R5" s="13">
        <f t="shared" si="1"/>
        <v>49924.660799999998</v>
      </c>
      <c r="S5" s="12">
        <f t="shared" si="2"/>
        <v>43434.454895999996</v>
      </c>
      <c r="T5" s="11">
        <f t="shared" si="3"/>
        <v>0</v>
      </c>
      <c r="U5" s="11">
        <f t="shared" si="4"/>
        <v>0</v>
      </c>
      <c r="V5" s="11">
        <f t="shared" si="5"/>
        <v>0.23706918540236327</v>
      </c>
      <c r="W5" s="11">
        <f t="shared" si="6"/>
        <v>0</v>
      </c>
      <c r="X5" s="11">
        <f t="shared" si="7"/>
        <v>3.3707332526239266</v>
      </c>
      <c r="Y5" s="11">
        <f t="shared" si="8"/>
        <v>3.6771635483170111</v>
      </c>
      <c r="Z5" s="9">
        <f t="shared" si="9"/>
        <v>7.2849659863433009</v>
      </c>
      <c r="AA5" s="9">
        <f t="shared" si="10"/>
        <v>2.2857142857142856</v>
      </c>
      <c r="AB5" s="10">
        <f t="shared" si="11"/>
        <v>13627.895344207791</v>
      </c>
      <c r="AC5" s="9">
        <f t="shared" si="12"/>
        <v>4.9992517006290154</v>
      </c>
      <c r="AD5" s="8">
        <f t="shared" si="13"/>
        <v>34260.413277922082</v>
      </c>
      <c r="AE5" s="7">
        <f t="shared" si="14"/>
        <v>29806.559551792212</v>
      </c>
      <c r="AG5" s="23"/>
    </row>
    <row r="6" spans="1:33" x14ac:dyDescent="0.25">
      <c r="A6" s="22">
        <f t="shared" ca="1" si="0"/>
        <v>46182</v>
      </c>
      <c r="B6" s="21" t="s">
        <v>2</v>
      </c>
      <c r="C6" s="20" t="s">
        <v>1</v>
      </c>
      <c r="D6" s="4" t="s">
        <v>158</v>
      </c>
      <c r="E6" s="3" t="str">
        <f>VLOOKUP(D6,'[1]ANALISIS (NEW)'!C:E,3,FALSE)</f>
        <v>O-RING FLUID TRANSPORT</v>
      </c>
      <c r="F6" s="19" t="str">
        <f>VLOOKUP(D6,'[1]ANALISIS (NEW)'!C:AX,48,FALSE)</f>
        <v>TRELLEBORG SEALING SOLUT</v>
      </c>
      <c r="G6" s="15" t="str">
        <f>VLOOKUP(D:D,'[1]ANALISIS (NEW)'!C:BY,75,FALSE)</f>
        <v>EA</v>
      </c>
      <c r="H6" s="18" t="str">
        <f>VLOOKUP(D6,'[1]ANALISIS (NEW)'!C:BF,49,FALSE)</f>
        <v xml:space="preserve">US </v>
      </c>
      <c r="I6" s="17">
        <f>VLOOKUP(D6,'[1]ANALISIS (NEW)'!C:BF,50,FALSE)</f>
        <v>9</v>
      </c>
      <c r="J6" s="16">
        <f>VLOOKUP(D6,'[1]ANALISIS (NEW)'!C:BG,57,FALSE)</f>
        <v>8.6099999999999996E-2</v>
      </c>
      <c r="K6" s="15">
        <f>VLOOKUP(D6,'[1]ANALISIS (NEW)'!C:BF,56,FALSE)</f>
        <v>1722.090909090909</v>
      </c>
      <c r="L6" s="14">
        <v>0</v>
      </c>
      <c r="M6" s="14">
        <f>VLOOKUP(D6,'[1]Inv Sem 23 pzas '!A:F,2,FALSE)</f>
        <v>0</v>
      </c>
      <c r="N6" s="14">
        <f>VLOOKUP(D6,'[1]Inv Sem 23 pzas '!A:F,3,FALSE)</f>
        <v>0</v>
      </c>
      <c r="O6" s="14">
        <f>VLOOKUP(D6,'[1]Inv Sem 23 pzas '!A:F,4,FALSE)</f>
        <v>11400</v>
      </c>
      <c r="P6" s="14">
        <f>VLOOKUP(D6,'[1]Inv Sem 23 pzas '!A:F,5,FALSE)</f>
        <v>0</v>
      </c>
      <c r="Q6" s="14">
        <f>VLOOKUP(D6,'[1]Inv Sem 23 pzas '!A:F,6,FALSE)</f>
        <v>309697</v>
      </c>
      <c r="R6" s="13">
        <f t="shared" si="1"/>
        <v>321097</v>
      </c>
      <c r="S6" s="12">
        <f t="shared" si="2"/>
        <v>27646.451699999998</v>
      </c>
      <c r="T6" s="11">
        <f t="shared" si="3"/>
        <v>0</v>
      </c>
      <c r="U6" s="11">
        <f t="shared" si="4"/>
        <v>0</v>
      </c>
      <c r="V6" s="11">
        <f t="shared" si="5"/>
        <v>6.6198595787362091</v>
      </c>
      <c r="W6" s="11">
        <f t="shared" si="6"/>
        <v>0</v>
      </c>
      <c r="X6" s="11">
        <f t="shared" si="7"/>
        <v>179.83777648735682</v>
      </c>
      <c r="Y6" s="11">
        <f t="shared" si="8"/>
        <v>0</v>
      </c>
      <c r="Z6" s="9">
        <f t="shared" si="9"/>
        <v>186.45763606609302</v>
      </c>
      <c r="AA6" s="9">
        <f t="shared" si="10"/>
        <v>2.2857142857142856</v>
      </c>
      <c r="AB6" s="10">
        <f t="shared" si="11"/>
        <v>338.90749090909088</v>
      </c>
      <c r="AC6" s="9">
        <f t="shared" si="12"/>
        <v>184.17192178037874</v>
      </c>
      <c r="AD6" s="8">
        <f t="shared" si="13"/>
        <v>317160.79220779223</v>
      </c>
      <c r="AE6" s="7">
        <f t="shared" si="14"/>
        <v>27307.544209090909</v>
      </c>
    </row>
    <row r="7" spans="1:33" x14ac:dyDescent="0.25">
      <c r="A7" s="22">
        <f t="shared" ca="1" si="0"/>
        <v>46182</v>
      </c>
      <c r="B7" s="21" t="s">
        <v>2</v>
      </c>
      <c r="C7" s="20" t="s">
        <v>1</v>
      </c>
      <c r="D7" s="4" t="s">
        <v>157</v>
      </c>
      <c r="E7" s="3" t="str">
        <f>VLOOKUP(D7,'[1]ANALISIS (NEW)'!C:E,3,FALSE)</f>
        <v>HOSE-A/C FORMED-BARRIER GALAXY 3/4 4886</v>
      </c>
      <c r="F7" s="19" t="str">
        <f>VLOOKUP(D7,'[1]ANALISIS (NEW)'!C:AX,48,FALSE)</f>
        <v xml:space="preserve">Contitech Delicias </v>
      </c>
      <c r="G7" s="15" t="str">
        <f>VLOOKUP(D:D,'[1]ANALISIS (NEW)'!C:BY,75,FALSE)</f>
        <v>EA</v>
      </c>
      <c r="H7" s="18" t="str">
        <f>VLOOKUP(D7,'[1]ANALISIS (NEW)'!C:BF,49,FALSE)</f>
        <v xml:space="preserve">US </v>
      </c>
      <c r="I7" s="17">
        <f>VLOOKUP(D7,'[1]ANALISIS (NEW)'!C:BF,50,FALSE)</f>
        <v>9</v>
      </c>
      <c r="J7" s="16">
        <f>VLOOKUP(D7,'[1]ANALISIS (NEW)'!C:BG,57,FALSE)</f>
        <v>3.9830000000000001</v>
      </c>
      <c r="K7" s="15">
        <f>VLOOKUP(D7,'[1]ANALISIS (NEW)'!C:BF,56,FALSE)</f>
        <v>4411.363636363636</v>
      </c>
      <c r="L7" s="14">
        <v>0</v>
      </c>
      <c r="M7" s="14">
        <f>VLOOKUP(D7,'[1]Inv Sem 23 pzas '!A:F,2,FALSE)</f>
        <v>0</v>
      </c>
      <c r="N7" s="14">
        <f>VLOOKUP(D7,'[1]Inv Sem 23 pzas '!A:F,3,FALSE)</f>
        <v>1100</v>
      </c>
      <c r="O7" s="14">
        <f>VLOOKUP(D7,'[1]Inv Sem 23 pzas '!A:F,4,FALSE)</f>
        <v>491</v>
      </c>
      <c r="P7" s="14">
        <f>VLOOKUP(D7,'[1]Inv Sem 23 pzas '!A:F,5,FALSE)</f>
        <v>0</v>
      </c>
      <c r="Q7" s="14">
        <f>VLOOKUP(D7,'[1]Inv Sem 23 pzas '!A:F,6,FALSE)</f>
        <v>14350</v>
      </c>
      <c r="R7" s="13">
        <f t="shared" si="1"/>
        <v>15941</v>
      </c>
      <c r="S7" s="12">
        <f t="shared" si="2"/>
        <v>63493.003000000004</v>
      </c>
      <c r="T7" s="11">
        <f t="shared" si="3"/>
        <v>0</v>
      </c>
      <c r="U7" s="11">
        <f t="shared" si="4"/>
        <v>0.24935600206079342</v>
      </c>
      <c r="V7" s="11">
        <f t="shared" si="5"/>
        <v>0.11130345182895415</v>
      </c>
      <c r="W7" s="11">
        <f t="shared" si="6"/>
        <v>0</v>
      </c>
      <c r="X7" s="11">
        <f t="shared" si="7"/>
        <v>3.2529623905203504</v>
      </c>
      <c r="Y7" s="11">
        <f t="shared" si="8"/>
        <v>0</v>
      </c>
      <c r="Z7" s="9">
        <f t="shared" si="9"/>
        <v>3.613621844410098</v>
      </c>
      <c r="AA7" s="9">
        <f t="shared" si="10"/>
        <v>2.2857142857142856</v>
      </c>
      <c r="AB7" s="10">
        <f t="shared" si="11"/>
        <v>40161.054545454543</v>
      </c>
      <c r="AC7" s="9">
        <f t="shared" si="12"/>
        <v>1.3279075586958125</v>
      </c>
      <c r="AD7" s="8">
        <f t="shared" si="13"/>
        <v>5857.8831168831175</v>
      </c>
      <c r="AE7" s="7">
        <f t="shared" si="14"/>
        <v>23331.948454545458</v>
      </c>
    </row>
    <row r="8" spans="1:33" x14ac:dyDescent="0.25">
      <c r="A8" s="22">
        <f t="shared" ca="1" si="0"/>
        <v>46182</v>
      </c>
      <c r="B8" s="21" t="s">
        <v>2</v>
      </c>
      <c r="C8" s="20" t="s">
        <v>1</v>
      </c>
      <c r="D8" s="4" t="s">
        <v>156</v>
      </c>
      <c r="E8" s="3" t="str">
        <f>VLOOKUP(D8,'[1]ANALISIS (NEW)'!C:E,3,FALSE)</f>
        <v>GOOD YEAR 4890 5/8INCH</v>
      </c>
      <c r="F8" s="19" t="str">
        <f>VLOOKUP(D8,'[1]ANALISIS (NEW)'!C:AX,48,FALSE)</f>
        <v>CONTITECH USA, INC.</v>
      </c>
      <c r="G8" s="15" t="str">
        <f>VLOOKUP(D:D,'[1]ANALISIS (NEW)'!C:BY,75,FALSE)</f>
        <v>MM</v>
      </c>
      <c r="H8" s="18" t="str">
        <f>VLOOKUP(D8,'[1]ANALISIS (NEW)'!C:BF,49,FALSE)</f>
        <v xml:space="preserve">US </v>
      </c>
      <c r="I8" s="17">
        <f>VLOOKUP(D8,'[1]ANALISIS (NEW)'!C:BF,50,FALSE)</f>
        <v>9</v>
      </c>
      <c r="J8" s="16">
        <f>VLOOKUP(D8,'[1]ANALISIS (NEW)'!C:BG,57,FALSE)*1000</f>
        <v>2.81</v>
      </c>
      <c r="K8" s="15">
        <f>VLOOKUP(D8,'[1]ANALISIS (NEW)'!C:BF,56,FALSE)</f>
        <v>4311.7830454545456</v>
      </c>
      <c r="L8" s="14">
        <v>7234</v>
      </c>
      <c r="M8" s="14">
        <f>VLOOKUP(D8,'[1]Inv Sem 23 pzas '!A:F,2,FALSE)/1000</f>
        <v>0</v>
      </c>
      <c r="N8" s="14">
        <f>VLOOKUP(D8,'[1]Inv Sem 23 pzas '!A:F,3,FALSE)/1000</f>
        <v>0</v>
      </c>
      <c r="O8" s="14">
        <f>VLOOKUP(D8,'[1]Inv Sem 23 pzas '!A:F,4,FALSE)/1000</f>
        <v>3883.165</v>
      </c>
      <c r="P8" s="14">
        <f>VLOOKUP(D8,'[1]Inv Sem 23 pzas '!A:F,5,FALSE)</f>
        <v>0</v>
      </c>
      <c r="Q8" s="14">
        <f>VLOOKUP(D8,'[1]Inv Sem 23 pzas '!A:F,6,FALSE)/1000</f>
        <v>6973</v>
      </c>
      <c r="R8" s="13">
        <f t="shared" si="1"/>
        <v>18090.165000000001</v>
      </c>
      <c r="S8" s="12">
        <f t="shared" si="2"/>
        <v>50833.363650000007</v>
      </c>
      <c r="T8" s="11">
        <f t="shared" si="3"/>
        <v>0</v>
      </c>
      <c r="U8" s="11">
        <f t="shared" si="4"/>
        <v>0</v>
      </c>
      <c r="V8" s="11">
        <f t="shared" si="5"/>
        <v>0.9005937819839076</v>
      </c>
      <c r="W8" s="11">
        <f t="shared" si="6"/>
        <v>0</v>
      </c>
      <c r="X8" s="11">
        <f t="shared" si="7"/>
        <v>1.6171963956653368</v>
      </c>
      <c r="Y8" s="11">
        <f t="shared" si="8"/>
        <v>1.6777281982278855</v>
      </c>
      <c r="Z8" s="9">
        <f t="shared" si="9"/>
        <v>4.1955183758771302</v>
      </c>
      <c r="AA8" s="9">
        <f t="shared" si="10"/>
        <v>2.2857142857142856</v>
      </c>
      <c r="AB8" s="10">
        <f t="shared" si="11"/>
        <v>27693.966531948055</v>
      </c>
      <c r="AC8" s="9">
        <f t="shared" si="12"/>
        <v>1.9098040901628446</v>
      </c>
      <c r="AD8" s="8">
        <f t="shared" si="13"/>
        <v>8234.6608961038983</v>
      </c>
      <c r="AE8" s="7">
        <f t="shared" si="14"/>
        <v>23139.397118051955</v>
      </c>
    </row>
    <row r="9" spans="1:33" x14ac:dyDescent="0.25">
      <c r="A9" s="22">
        <f t="shared" ca="1" si="0"/>
        <v>46182</v>
      </c>
      <c r="B9" s="21" t="s">
        <v>2</v>
      </c>
      <c r="C9" s="20" t="s">
        <v>1</v>
      </c>
      <c r="D9" s="4" t="s">
        <v>155</v>
      </c>
      <c r="E9" s="3" t="str">
        <f>VLOOKUP(D9,'[1]ANALISIS (NEW)'!C:E,3,FALSE)</f>
        <v>VALVE CORE A/C CHARGE VA LVE</v>
      </c>
      <c r="F9" s="19" t="str">
        <f>VLOOKUP(D9,'[1]ANALISIS (NEW)'!C:AX,48,FALSE)</f>
        <v>SCHRADER BRIDGEPORT INTE</v>
      </c>
      <c r="G9" s="15" t="str">
        <f>VLOOKUP(D:D,'[1]ANALISIS (NEW)'!C:BY,75,FALSE)</f>
        <v>EA</v>
      </c>
      <c r="H9" s="18" t="str">
        <f>VLOOKUP(D9,'[1]ANALISIS (NEW)'!C:BF,49,FALSE)</f>
        <v xml:space="preserve">US </v>
      </c>
      <c r="I9" s="17">
        <f>VLOOKUP(D9,'[1]ANALISIS (NEW)'!C:BF,50,FALSE)</f>
        <v>9</v>
      </c>
      <c r="J9" s="16">
        <f>VLOOKUP(D9,'[1]ANALISIS (NEW)'!C:BG,57,FALSE)</f>
        <v>0.34499999999999997</v>
      </c>
      <c r="K9" s="15">
        <f>VLOOKUP(D9,'[1]ANALISIS (NEW)'!C:BF,56,FALSE)</f>
        <v>28147.81818181818</v>
      </c>
      <c r="L9" s="14">
        <v>26000</v>
      </c>
      <c r="M9" s="14">
        <f>VLOOKUP(D9,'[1]Inv Sem 23 pzas '!A:F,2,FALSE)</f>
        <v>0</v>
      </c>
      <c r="N9" s="14">
        <f>VLOOKUP(D9,'[1]Inv Sem 23 pzas '!A:F,3,FALSE)</f>
        <v>0</v>
      </c>
      <c r="O9" s="14">
        <f>VLOOKUP(D9,'[1]Inv Sem 23 pzas '!A:F,4,FALSE)</f>
        <v>57977</v>
      </c>
      <c r="P9" s="14">
        <f>VLOOKUP(D9,'[1]Inv Sem 23 pzas '!A:F,5,FALSE)</f>
        <v>0</v>
      </c>
      <c r="Q9" s="14">
        <f>VLOOKUP(D9,'[1]Inv Sem 23 pzas '!A:F,6,FALSE)</f>
        <v>43000</v>
      </c>
      <c r="R9" s="13">
        <f t="shared" si="1"/>
        <v>126977</v>
      </c>
      <c r="S9" s="12">
        <f t="shared" si="2"/>
        <v>43807.064999999995</v>
      </c>
      <c r="T9" s="11">
        <f t="shared" si="3"/>
        <v>0</v>
      </c>
      <c r="U9" s="11">
        <f t="shared" si="4"/>
        <v>0</v>
      </c>
      <c r="V9" s="11">
        <f t="shared" si="5"/>
        <v>2.0597333557259403</v>
      </c>
      <c r="W9" s="11">
        <f t="shared" si="6"/>
        <v>0</v>
      </c>
      <c r="X9" s="11">
        <f t="shared" si="7"/>
        <v>1.5276494868002042</v>
      </c>
      <c r="Y9" s="11">
        <f t="shared" si="8"/>
        <v>0.92369503853035606</v>
      </c>
      <c r="Z9" s="9">
        <f t="shared" si="9"/>
        <v>4.5110778810565009</v>
      </c>
      <c r="AA9" s="9">
        <f t="shared" si="10"/>
        <v>2.2857142857142856</v>
      </c>
      <c r="AB9" s="10">
        <f t="shared" si="11"/>
        <v>22196.565194805189</v>
      </c>
      <c r="AC9" s="9">
        <f t="shared" si="12"/>
        <v>2.2253635953422153</v>
      </c>
      <c r="AD9" s="8">
        <f t="shared" si="13"/>
        <v>62639.12987012988</v>
      </c>
      <c r="AE9" s="7">
        <f t="shared" si="14"/>
        <v>21610.499805194806</v>
      </c>
    </row>
    <row r="10" spans="1:33" x14ac:dyDescent="0.25">
      <c r="A10" s="22">
        <f t="shared" ca="1" si="0"/>
        <v>46182</v>
      </c>
      <c r="B10" s="21" t="s">
        <v>2</v>
      </c>
      <c r="C10" s="20" t="s">
        <v>1</v>
      </c>
      <c r="D10" s="4" t="s">
        <v>154</v>
      </c>
      <c r="E10" s="3" t="str">
        <f>VLOOKUP(D10,'[1]ANALISIS (NEW)'!C:E,3,FALSE)</f>
        <v>GSKT-A/C LINE SEAL'G</v>
      </c>
      <c r="F10" s="19" t="str">
        <f>VLOOKUP(D10,'[1]ANALISIS (NEW)'!C:AX,48,FALSE)</f>
        <v>PARKER HANNIFIN CORPORAT</v>
      </c>
      <c r="G10" s="15" t="str">
        <f>VLOOKUP(D:D,'[1]ANALISIS (NEW)'!C:BY,75,FALSE)</f>
        <v>EA</v>
      </c>
      <c r="H10" s="18" t="str">
        <f>VLOOKUP(D10,'[1]ANALISIS (NEW)'!C:BF,49,FALSE)</f>
        <v xml:space="preserve">US </v>
      </c>
      <c r="I10" s="17">
        <f>VLOOKUP(D10,'[1]ANALISIS (NEW)'!C:BF,50,FALSE)</f>
        <v>9</v>
      </c>
      <c r="J10" s="16">
        <f>VLOOKUP(D10,'[1]ANALISIS (NEW)'!C:BG,57,FALSE)</f>
        <v>0.29189999999999999</v>
      </c>
      <c r="K10" s="15">
        <f>VLOOKUP(D10,'[1]ANALISIS (NEW)'!C:BF,56,FALSE)</f>
        <v>1733.8181818181818</v>
      </c>
      <c r="L10" s="14">
        <v>0</v>
      </c>
      <c r="M10" s="14">
        <f>VLOOKUP(D10,'[1]Inv Sem 23 pzas '!A:F,2,FALSE)</f>
        <v>0</v>
      </c>
      <c r="N10" s="14">
        <f>VLOOKUP(D10,'[1]Inv Sem 23 pzas '!A:F,3,FALSE)</f>
        <v>45000</v>
      </c>
      <c r="O10" s="14">
        <f>VLOOKUP(D10,'[1]Inv Sem 23 pzas '!A:F,4,FALSE)</f>
        <v>22494</v>
      </c>
      <c r="P10" s="14">
        <f>VLOOKUP(D10,'[1]Inv Sem 23 pzas '!A:F,5,FALSE)</f>
        <v>0</v>
      </c>
      <c r="Q10" s="14">
        <f>VLOOKUP(D10,'[1]Inv Sem 23 pzas '!A:F,6,FALSE)</f>
        <v>6200</v>
      </c>
      <c r="R10" s="13">
        <f t="shared" si="1"/>
        <v>73694</v>
      </c>
      <c r="S10" s="12">
        <f t="shared" si="2"/>
        <v>21511.278599999998</v>
      </c>
      <c r="T10" s="11">
        <f t="shared" si="3"/>
        <v>0</v>
      </c>
      <c r="U10" s="11">
        <f t="shared" si="4"/>
        <v>25.954278523489933</v>
      </c>
      <c r="V10" s="11">
        <f t="shared" si="5"/>
        <v>12.973678691275168</v>
      </c>
      <c r="W10" s="11">
        <f t="shared" si="6"/>
        <v>0</v>
      </c>
      <c r="X10" s="11">
        <f t="shared" si="7"/>
        <v>3.5759228187919465</v>
      </c>
      <c r="Y10" s="11">
        <f t="shared" si="8"/>
        <v>0</v>
      </c>
      <c r="Z10" s="9">
        <f t="shared" si="9"/>
        <v>42.503880033557046</v>
      </c>
      <c r="AA10" s="9">
        <f t="shared" si="10"/>
        <v>2.2857142857142856</v>
      </c>
      <c r="AB10" s="10">
        <f t="shared" si="11"/>
        <v>1156.8034909090909</v>
      </c>
      <c r="AC10" s="9">
        <f t="shared" si="12"/>
        <v>40.218165747842761</v>
      </c>
      <c r="AD10" s="8">
        <f t="shared" si="13"/>
        <v>69730.987012987011</v>
      </c>
      <c r="AE10" s="7">
        <f t="shared" si="14"/>
        <v>20354.475109090909</v>
      </c>
    </row>
    <row r="11" spans="1:33" x14ac:dyDescent="0.25">
      <c r="A11" s="22">
        <f t="shared" ca="1" si="0"/>
        <v>46182</v>
      </c>
      <c r="B11" s="21" t="s">
        <v>2</v>
      </c>
      <c r="C11" s="20" t="s">
        <v>1</v>
      </c>
      <c r="D11" s="4" t="s">
        <v>153</v>
      </c>
      <c r="E11" s="3" t="str">
        <f>VLOOKUP(D11,'[1]ANALISIS (NEW)'!C:E,3,FALSE)</f>
        <v>GASKET - A/C LINE SEALIN G</v>
      </c>
      <c r="F11" s="19" t="str">
        <f>VLOOKUP(D11,'[1]ANALISIS (NEW)'!C:AX,48,FALSE)</f>
        <v>PARKER HANNIFIN CORPORAT</v>
      </c>
      <c r="G11" s="15" t="str">
        <f>VLOOKUP(D:D,'[1]ANALISIS (NEW)'!C:BY,75,FALSE)</f>
        <v>EA</v>
      </c>
      <c r="H11" s="18" t="str">
        <f>VLOOKUP(D11,'[1]ANALISIS (NEW)'!C:BF,49,FALSE)</f>
        <v xml:space="preserve">US </v>
      </c>
      <c r="I11" s="17">
        <f>VLOOKUP(D11,'[1]ANALISIS (NEW)'!C:BF,50,FALSE)</f>
        <v>9</v>
      </c>
      <c r="J11" s="16">
        <f>VLOOKUP(D11,'[1]ANALISIS (NEW)'!C:BG,57,FALSE)</f>
        <v>0.3256</v>
      </c>
      <c r="K11" s="15">
        <f>VLOOKUP(D11,'[1]ANALISIS (NEW)'!C:BF,56,FALSE)</f>
        <v>28019.090909090908</v>
      </c>
      <c r="L11" s="14">
        <v>0</v>
      </c>
      <c r="M11" s="14">
        <f>VLOOKUP(D11,'[1]Inv Sem 23 pzas '!A:F,2,FALSE)</f>
        <v>0</v>
      </c>
      <c r="N11" s="14">
        <f>VLOOKUP(D11,'[1]Inv Sem 23 pzas '!A:F,3,FALSE)</f>
        <v>5000</v>
      </c>
      <c r="O11" s="14">
        <f>VLOOKUP(D11,'[1]Inv Sem 23 pzas '!A:F,4,FALSE)</f>
        <v>53473</v>
      </c>
      <c r="P11" s="14">
        <f>VLOOKUP(D11,'[1]Inv Sem 23 pzas '!A:F,5,FALSE)</f>
        <v>0</v>
      </c>
      <c r="Q11" s="14">
        <f>VLOOKUP(D11,'[1]Inv Sem 23 pzas '!A:F,6,FALSE)</f>
        <v>67500</v>
      </c>
      <c r="R11" s="13">
        <f t="shared" si="1"/>
        <v>125973</v>
      </c>
      <c r="S11" s="12">
        <f t="shared" si="2"/>
        <v>41016.808799999999</v>
      </c>
      <c r="T11" s="11">
        <f t="shared" si="3"/>
        <v>0</v>
      </c>
      <c r="U11" s="11">
        <f t="shared" si="4"/>
        <v>0.17844975828169107</v>
      </c>
      <c r="V11" s="11">
        <f t="shared" si="5"/>
        <v>1.9084487849193732</v>
      </c>
      <c r="W11" s="11">
        <f t="shared" si="6"/>
        <v>0</v>
      </c>
      <c r="X11" s="11">
        <f t="shared" si="7"/>
        <v>2.4090717368028294</v>
      </c>
      <c r="Y11" s="11">
        <f t="shared" si="8"/>
        <v>0</v>
      </c>
      <c r="Z11" s="9">
        <f t="shared" si="9"/>
        <v>4.4959702800038936</v>
      </c>
      <c r="AA11" s="9">
        <f t="shared" si="10"/>
        <v>2.2857142857142856</v>
      </c>
      <c r="AB11" s="10">
        <f t="shared" si="11"/>
        <v>20852.608</v>
      </c>
      <c r="AC11" s="9">
        <f t="shared" si="12"/>
        <v>2.2102559942896081</v>
      </c>
      <c r="AD11" s="8">
        <f t="shared" si="13"/>
        <v>61929.363636363647</v>
      </c>
      <c r="AE11" s="7">
        <f t="shared" si="14"/>
        <v>20164.200800000002</v>
      </c>
    </row>
    <row r="12" spans="1:33" x14ac:dyDescent="0.25">
      <c r="A12" s="22">
        <f t="shared" ca="1" si="0"/>
        <v>46182</v>
      </c>
      <c r="B12" s="21" t="s">
        <v>2</v>
      </c>
      <c r="C12" s="20" t="s">
        <v>1</v>
      </c>
      <c r="D12" s="4" t="s">
        <v>152</v>
      </c>
      <c r="E12" s="3" t="str">
        <f>VLOOKUP(D12,'[1]ANALISIS (NEW)'!C:E,3,FALSE)</f>
        <v>BRKT/CLIP-A/C LINE</v>
      </c>
      <c r="F12" s="19" t="str">
        <f>VLOOKUP(D12,'[1]ANALISIS (NEW)'!C:AX,48,FALSE)</f>
        <v>FRANKLIN FASTENER CO</v>
      </c>
      <c r="G12" s="15" t="str">
        <f>VLOOKUP(D:D,'[1]ANALISIS (NEW)'!C:BY,75,FALSE)</f>
        <v>EA</v>
      </c>
      <c r="H12" s="18" t="str">
        <f>VLOOKUP(D12,'[1]ANALISIS (NEW)'!C:BF,49,FALSE)</f>
        <v xml:space="preserve">US </v>
      </c>
      <c r="I12" s="17">
        <f>VLOOKUP(D12,'[1]ANALISIS (NEW)'!C:BF,50,FALSE)</f>
        <v>9</v>
      </c>
      <c r="J12" s="16">
        <f>VLOOKUP(D12,'[1]ANALISIS (NEW)'!C:BG,57,FALSE)</f>
        <v>0.80829999999999991</v>
      </c>
      <c r="K12" s="15">
        <f>VLOOKUP(D12,'[1]ANALISIS (NEW)'!C:BF,56,FALSE)</f>
        <v>7420.363636363636</v>
      </c>
      <c r="L12" s="14">
        <v>14000</v>
      </c>
      <c r="M12" s="14">
        <f>VLOOKUP(D12,'[1]Inv Sem 23 pzas '!A:F,2,FALSE)</f>
        <v>0</v>
      </c>
      <c r="N12" s="14">
        <f>VLOOKUP(D12,'[1]Inv Sem 23 pzas '!A:F,3,FALSE)</f>
        <v>14000</v>
      </c>
      <c r="O12" s="14">
        <f>VLOOKUP(D12,'[1]Inv Sem 23 pzas '!A:F,4,FALSE)</f>
        <v>2006</v>
      </c>
      <c r="P12" s="14">
        <f>VLOOKUP(D12,'[1]Inv Sem 23 pzas '!A:F,5,FALSE)</f>
        <v>0</v>
      </c>
      <c r="Q12" s="14">
        <f>VLOOKUP(D12,'[1]Inv Sem 23 pzas '!A:F,6,FALSE)</f>
        <v>11400</v>
      </c>
      <c r="R12" s="13">
        <f t="shared" si="1"/>
        <v>41406</v>
      </c>
      <c r="S12" s="12">
        <f t="shared" si="2"/>
        <v>33468.469799999999</v>
      </c>
      <c r="T12" s="11">
        <f t="shared" si="3"/>
        <v>0</v>
      </c>
      <c r="U12" s="11">
        <f t="shared" si="4"/>
        <v>1.8866999901989612</v>
      </c>
      <c r="V12" s="11">
        <f t="shared" si="5"/>
        <v>0.27033715573850831</v>
      </c>
      <c r="W12" s="11">
        <f t="shared" si="6"/>
        <v>0</v>
      </c>
      <c r="X12" s="11">
        <f t="shared" si="7"/>
        <v>1.5363128491620113</v>
      </c>
      <c r="Y12" s="11">
        <f t="shared" si="8"/>
        <v>1.8866999901989612</v>
      </c>
      <c r="Z12" s="9">
        <f t="shared" si="9"/>
        <v>5.5800499852984418</v>
      </c>
      <c r="AA12" s="9">
        <f t="shared" si="10"/>
        <v>2.2857142857142856</v>
      </c>
      <c r="AB12" s="10">
        <f t="shared" si="11"/>
        <v>13709.43983376623</v>
      </c>
      <c r="AC12" s="9">
        <f t="shared" si="12"/>
        <v>3.2943356995841562</v>
      </c>
      <c r="AD12" s="8">
        <f t="shared" si="13"/>
        <v>24445.16883116883</v>
      </c>
      <c r="AE12" s="7">
        <f t="shared" si="14"/>
        <v>19759.029966233764</v>
      </c>
    </row>
    <row r="13" spans="1:33" x14ac:dyDescent="0.25">
      <c r="A13" s="22">
        <f t="shared" ca="1" si="0"/>
        <v>46182</v>
      </c>
      <c r="B13" s="21" t="s">
        <v>2</v>
      </c>
      <c r="C13" s="20" t="s">
        <v>1</v>
      </c>
      <c r="D13" s="4" t="s">
        <v>151</v>
      </c>
      <c r="E13" s="3" t="str">
        <f>VLOOKUP(D13,'[1]ANALISIS (NEW)'!C:E,3,FALSE)</f>
        <v>QUICK CONN-HTR WATER</v>
      </c>
      <c r="F13" s="19" t="str">
        <f>VLOOKUP(D13,'[1]ANALISIS (NEW)'!C:AX,48,FALSE)</f>
        <v>NORMA GROUP CRAIG ASSEMB</v>
      </c>
      <c r="G13" s="15" t="str">
        <f>VLOOKUP(D:D,'[1]ANALISIS (NEW)'!C:BY,75,FALSE)</f>
        <v>EA</v>
      </c>
      <c r="H13" s="18" t="str">
        <f>VLOOKUP(D13,'[1]ANALISIS (NEW)'!C:BF,49,FALSE)</f>
        <v xml:space="preserve">US </v>
      </c>
      <c r="I13" s="17">
        <f>VLOOKUP(D13,'[1]ANALISIS (NEW)'!C:BF,50,FALSE)</f>
        <v>9</v>
      </c>
      <c r="J13" s="16">
        <f>VLOOKUP(D13,'[1]ANALISIS (NEW)'!C:BG,57,FALSE)</f>
        <v>1.399</v>
      </c>
      <c r="K13" s="15">
        <f>VLOOKUP(D13,'[1]ANALISIS (NEW)'!C:BF,56,FALSE)</f>
        <v>7412.363636363636</v>
      </c>
      <c r="L13" s="14">
        <v>4500</v>
      </c>
      <c r="M13" s="14">
        <f>VLOOKUP(D13,'[1]Inv Sem 23 pzas '!A:F,2,FALSE)</f>
        <v>0</v>
      </c>
      <c r="N13" s="14">
        <f>VLOOKUP(D13,'[1]Inv Sem 23 pzas '!A:F,3,FALSE)</f>
        <v>2925</v>
      </c>
      <c r="O13" s="14">
        <f>VLOOKUP(D13,'[1]Inv Sem 23 pzas '!A:F,4,FALSE)</f>
        <v>5302</v>
      </c>
      <c r="P13" s="14">
        <f>VLOOKUP(D13,'[1]Inv Sem 23 pzas '!A:F,5,FALSE)</f>
        <v>0</v>
      </c>
      <c r="Q13" s="14">
        <f>VLOOKUP(D13,'[1]Inv Sem 23 pzas '!A:F,6,FALSE)</f>
        <v>18225</v>
      </c>
      <c r="R13" s="13">
        <f t="shared" si="1"/>
        <v>30952</v>
      </c>
      <c r="S13" s="12">
        <f t="shared" si="2"/>
        <v>43301.847999999998</v>
      </c>
      <c r="T13" s="11">
        <f t="shared" si="3"/>
        <v>0</v>
      </c>
      <c r="U13" s="11">
        <f t="shared" si="4"/>
        <v>0.39461096938775514</v>
      </c>
      <c r="V13" s="11">
        <f t="shared" si="5"/>
        <v>0.71529140502354793</v>
      </c>
      <c r="W13" s="11">
        <f t="shared" si="6"/>
        <v>0</v>
      </c>
      <c r="X13" s="11">
        <f t="shared" si="7"/>
        <v>2.4587298861852434</v>
      </c>
      <c r="Y13" s="11">
        <f t="shared" si="8"/>
        <v>0.6070937990580848</v>
      </c>
      <c r="Z13" s="9">
        <f t="shared" si="9"/>
        <v>4.1757260596546306</v>
      </c>
      <c r="AA13" s="9">
        <f t="shared" si="10"/>
        <v>2.2857142857142856</v>
      </c>
      <c r="AB13" s="10">
        <f t="shared" si="11"/>
        <v>23702.621090909088</v>
      </c>
      <c r="AC13" s="9">
        <f t="shared" si="12"/>
        <v>1.890011773940345</v>
      </c>
      <c r="AD13" s="8">
        <f t="shared" si="13"/>
        <v>14009.454545454542</v>
      </c>
      <c r="AE13" s="7">
        <f t="shared" si="14"/>
        <v>19599.226909090907</v>
      </c>
    </row>
    <row r="14" spans="1:33" x14ac:dyDescent="0.25">
      <c r="A14" s="22">
        <f t="shared" ca="1" si="0"/>
        <v>46182</v>
      </c>
      <c r="B14" s="21" t="s">
        <v>2</v>
      </c>
      <c r="C14" s="20" t="s">
        <v>1</v>
      </c>
      <c r="D14" s="4" t="s">
        <v>150</v>
      </c>
      <c r="E14" s="3" t="str">
        <f>VLOOKUP(D14,'[1]ANALISIS (NEW)'!C:E,3,FALSE)</f>
        <v>BRKT/CLIP-A/C LINE</v>
      </c>
      <c r="F14" s="19" t="str">
        <f>VLOOKUP(D14,'[1]ANALISIS (NEW)'!C:AX,48,FALSE)</f>
        <v>PRECISE TOOL &amp; DIE LIMIT</v>
      </c>
      <c r="G14" s="15" t="str">
        <f>VLOOKUP(D:D,'[1]ANALISIS (NEW)'!C:BY,75,FALSE)</f>
        <v>EA</v>
      </c>
      <c r="H14" s="18" t="str">
        <f>VLOOKUP(D14,'[1]ANALISIS (NEW)'!C:BF,49,FALSE)</f>
        <v xml:space="preserve">CA </v>
      </c>
      <c r="I14" s="17">
        <f>VLOOKUP(D14,'[1]ANALISIS (NEW)'!C:BF,50,FALSE)</f>
        <v>11</v>
      </c>
      <c r="J14" s="16">
        <f>VLOOKUP(D14,'[1]ANALISIS (NEW)'!C:BG,57,FALSE)</f>
        <v>1.7187999999999999</v>
      </c>
      <c r="K14" s="15">
        <f>VLOOKUP(D14,'[1]ANALISIS (NEW)'!C:BF,56,FALSE)</f>
        <v>1361.4545454545455</v>
      </c>
      <c r="L14" s="14">
        <v>10800</v>
      </c>
      <c r="M14" s="14">
        <f>VLOOKUP(D14,'[1]Inv Sem 23 pzas '!A:F,2,FALSE)</f>
        <v>0</v>
      </c>
      <c r="N14" s="14">
        <f>VLOOKUP(D14,'[1]Inv Sem 23 pzas '!A:F,3,FALSE)</f>
        <v>0</v>
      </c>
      <c r="O14" s="14">
        <f>VLOOKUP(D14,'[1]Inv Sem 23 pzas '!A:F,4,FALSE)</f>
        <v>367</v>
      </c>
      <c r="P14" s="14">
        <f>VLOOKUP(D14,'[1]Inv Sem 23 pzas '!A:F,5,FALSE)</f>
        <v>0</v>
      </c>
      <c r="Q14" s="14">
        <f>VLOOKUP(D14,'[1]Inv Sem 23 pzas '!A:F,6,FALSE)</f>
        <v>2325</v>
      </c>
      <c r="R14" s="13">
        <f t="shared" si="1"/>
        <v>13492</v>
      </c>
      <c r="S14" s="12">
        <f t="shared" si="2"/>
        <v>23190.049599999998</v>
      </c>
      <c r="T14" s="11">
        <f t="shared" si="3"/>
        <v>0</v>
      </c>
      <c r="U14" s="11">
        <f t="shared" si="4"/>
        <v>0</v>
      </c>
      <c r="V14" s="11">
        <f t="shared" si="5"/>
        <v>0.26956463675213677</v>
      </c>
      <c r="W14" s="11">
        <f t="shared" si="6"/>
        <v>0</v>
      </c>
      <c r="X14" s="11">
        <f t="shared" si="7"/>
        <v>1.7077323717948718</v>
      </c>
      <c r="Y14" s="11">
        <f t="shared" si="8"/>
        <v>7.9326923076923075</v>
      </c>
      <c r="Z14" s="9">
        <f t="shared" si="9"/>
        <v>9.9099893162393151</v>
      </c>
      <c r="AA14" s="9">
        <f t="shared" si="10"/>
        <v>2.5714285714285716</v>
      </c>
      <c r="AB14" s="10">
        <f t="shared" si="11"/>
        <v>6017.3179012987011</v>
      </c>
      <c r="AC14" s="9">
        <f t="shared" si="12"/>
        <v>7.3385607448107439</v>
      </c>
      <c r="AD14" s="8">
        <f t="shared" si="13"/>
        <v>9991.1168831168816</v>
      </c>
      <c r="AE14" s="7">
        <f t="shared" si="14"/>
        <v>17172.731698701296</v>
      </c>
    </row>
    <row r="15" spans="1:33" x14ac:dyDescent="0.25">
      <c r="A15" s="22">
        <f t="shared" ca="1" si="0"/>
        <v>46182</v>
      </c>
      <c r="B15" s="21" t="s">
        <v>2</v>
      </c>
      <c r="C15" s="20" t="s">
        <v>1</v>
      </c>
      <c r="D15" s="4" t="s">
        <v>149</v>
      </c>
      <c r="E15" s="3" t="str">
        <f>VLOOKUP(D15,'[1]ANALISIS (NEW)'!C:E,3,FALSE)</f>
        <v>13/32" Formed HoseGY4898</v>
      </c>
      <c r="F15" s="19" t="str">
        <f>VLOOKUP(D15,'[1]ANALISIS (NEW)'!C:AX,48,FALSE)</f>
        <v>CONTITECH NORTH AMERICA,</v>
      </c>
      <c r="G15" s="15" t="str">
        <f>VLOOKUP(D:D,'[1]ANALISIS (NEW)'!C:BY,75,FALSE)</f>
        <v>EA</v>
      </c>
      <c r="H15" s="18" t="str">
        <f>VLOOKUP(D15,'[1]ANALISIS (NEW)'!C:BF,49,FALSE)</f>
        <v xml:space="preserve">US </v>
      </c>
      <c r="I15" s="17">
        <f>VLOOKUP(D15,'[1]ANALISIS (NEW)'!C:BF,50,FALSE)</f>
        <v>9</v>
      </c>
      <c r="J15" s="16">
        <f>VLOOKUP(D15,'[1]ANALISIS (NEW)'!C:BG,57,FALSE)</f>
        <v>2.6280000000000001</v>
      </c>
      <c r="K15" s="15">
        <f>VLOOKUP(D15,'[1]ANALISIS (NEW)'!C:BF,56,FALSE)+1</f>
        <v>4059.818181818182</v>
      </c>
      <c r="L15" s="14">
        <v>0</v>
      </c>
      <c r="M15" s="14">
        <f>VLOOKUP(D15,'[1]Inv Sem 23 pzas '!A:F,2,FALSE)</f>
        <v>0</v>
      </c>
      <c r="N15" s="14">
        <f>VLOOKUP(D15,'[1]Inv Sem 23 pzas '!A:F,3,FALSE)</f>
        <v>1500</v>
      </c>
      <c r="O15" s="14">
        <f>VLOOKUP(D15,'[1]Inv Sem 23 pzas '!A:F,4,FALSE)</f>
        <v>1141</v>
      </c>
      <c r="P15" s="14">
        <f>VLOOKUP(D15,'[1]Inv Sem 23 pzas '!A:F,5,FALSE)</f>
        <v>0</v>
      </c>
      <c r="Q15" s="14">
        <f>VLOOKUP(D15,'[1]Inv Sem 23 pzas '!A:F,6,FALSE)</f>
        <v>12300</v>
      </c>
      <c r="R15" s="13">
        <f t="shared" si="1"/>
        <v>14941</v>
      </c>
      <c r="S15" s="12">
        <f t="shared" si="2"/>
        <v>39264.948000000004</v>
      </c>
      <c r="T15" s="11">
        <f t="shared" si="3"/>
        <v>0</v>
      </c>
      <c r="U15" s="11">
        <f t="shared" si="4"/>
        <v>0.36947467419051455</v>
      </c>
      <c r="V15" s="11">
        <f t="shared" si="5"/>
        <v>0.2810470688342514</v>
      </c>
      <c r="W15" s="11">
        <f t="shared" si="6"/>
        <v>0</v>
      </c>
      <c r="X15" s="11">
        <f t="shared" si="7"/>
        <v>3.0296923283622195</v>
      </c>
      <c r="Y15" s="11">
        <f t="shared" si="8"/>
        <v>0</v>
      </c>
      <c r="Z15" s="9">
        <f t="shared" si="9"/>
        <v>3.6802140713869855</v>
      </c>
      <c r="AA15" s="9">
        <f t="shared" si="10"/>
        <v>2.2857142857142856</v>
      </c>
      <c r="AB15" s="10">
        <f t="shared" si="11"/>
        <v>24386.747844155845</v>
      </c>
      <c r="AC15" s="9">
        <f t="shared" si="12"/>
        <v>1.3944997856726999</v>
      </c>
      <c r="AD15" s="8">
        <f t="shared" si="13"/>
        <v>5661.4155844155848</v>
      </c>
      <c r="AE15" s="7">
        <f t="shared" si="14"/>
        <v>14878.200155844157</v>
      </c>
    </row>
    <row r="16" spans="1:33" x14ac:dyDescent="0.25">
      <c r="A16" s="22">
        <f t="shared" ca="1" si="0"/>
        <v>46182</v>
      </c>
      <c r="B16" s="21" t="s">
        <v>2</v>
      </c>
      <c r="C16" s="20" t="s">
        <v>1</v>
      </c>
      <c r="D16" s="4" t="s">
        <v>148</v>
      </c>
      <c r="E16" s="3" t="str">
        <f>VLOOKUP(D16,'[1]ANALISIS (NEW)'!C:E,3,FALSE)</f>
        <v>Hose - A/C (Bulk)barrier 4882 - 5/8"</v>
      </c>
      <c r="F16" s="19" t="str">
        <f>VLOOKUP(D16,'[1]ANALISIS (NEW)'!C:AX,48,FALSE)</f>
        <v>CONTITECH USA, INC.</v>
      </c>
      <c r="G16" s="15" t="str">
        <f>VLOOKUP(D:D,'[1]ANALISIS (NEW)'!C:BY,75,FALSE)</f>
        <v>MM</v>
      </c>
      <c r="H16" s="18" t="str">
        <f>VLOOKUP(D16,'[1]ANALISIS (NEW)'!C:BF,49,FALSE)</f>
        <v xml:space="preserve">US </v>
      </c>
      <c r="I16" s="17">
        <f>VLOOKUP(D16,'[1]ANALISIS (NEW)'!C:BF,50,FALSE)</f>
        <v>9</v>
      </c>
      <c r="J16" s="16">
        <f>VLOOKUP(D16,'[1]ANALISIS (NEW)'!C:BG,57,FALSE)*1000</f>
        <v>3.54</v>
      </c>
      <c r="K16" s="15">
        <f>VLOOKUP(D16,'[1]ANALISIS (NEW)'!C:BF,56,FALSE)</f>
        <v>5722.9254727272728</v>
      </c>
      <c r="L16" s="14">
        <v>6961</v>
      </c>
      <c r="M16" s="14">
        <f>VLOOKUP(D16,'[1]Inv Sem 23 pzas '!A:F,2,FALSE)/1000</f>
        <v>0</v>
      </c>
      <c r="N16" s="14">
        <f>VLOOKUP(D16,'[1]Inv Sem 23 pzas '!A:F,3,FALSE)/1000</f>
        <v>0</v>
      </c>
      <c r="O16" s="14">
        <f>VLOOKUP(D16,'[1]Inv Sem 23 pzas '!A:F,4,FALSE)/1000</f>
        <v>638.94159999999999</v>
      </c>
      <c r="P16" s="14">
        <f>VLOOKUP(D16,'[1]Inv Sem 23 pzas '!A:F,5,FALSE)</f>
        <v>0</v>
      </c>
      <c r="Q16" s="14">
        <f>VLOOKUP(D16,'[1]Inv Sem 23 pzas '!A:F,6,FALSE)/1000</f>
        <v>9634</v>
      </c>
      <c r="R16" s="13">
        <f t="shared" si="1"/>
        <v>17233.941599999998</v>
      </c>
      <c r="S16" s="12">
        <f t="shared" si="2"/>
        <v>61008.153263999993</v>
      </c>
      <c r="T16" s="11">
        <f t="shared" si="3"/>
        <v>0</v>
      </c>
      <c r="U16" s="11">
        <f t="shared" si="4"/>
        <v>0</v>
      </c>
      <c r="V16" s="11">
        <f t="shared" si="5"/>
        <v>0.11164597600386206</v>
      </c>
      <c r="W16" s="11">
        <f t="shared" si="6"/>
        <v>0</v>
      </c>
      <c r="X16" s="11">
        <f t="shared" si="7"/>
        <v>1.6834047631602123</v>
      </c>
      <c r="Y16" s="11">
        <f t="shared" si="8"/>
        <v>1.2163359514592316</v>
      </c>
      <c r="Z16" s="9">
        <f t="shared" si="9"/>
        <v>3.011386690623306</v>
      </c>
      <c r="AA16" s="9">
        <f t="shared" si="10"/>
        <v>2.2857142857142856</v>
      </c>
      <c r="AB16" s="10">
        <f t="shared" si="11"/>
        <v>46306.642682181817</v>
      </c>
      <c r="AC16" s="9">
        <f t="shared" si="12"/>
        <v>0.72567240490902041</v>
      </c>
      <c r="AD16" s="8">
        <f t="shared" si="13"/>
        <v>4152.9690909090923</v>
      </c>
      <c r="AE16" s="7">
        <f t="shared" si="14"/>
        <v>14701.510581818187</v>
      </c>
    </row>
    <row r="17" spans="1:31" x14ac:dyDescent="0.25">
      <c r="A17" s="22">
        <f t="shared" ca="1" si="0"/>
        <v>46182</v>
      </c>
      <c r="B17" s="21" t="s">
        <v>2</v>
      </c>
      <c r="C17" s="20" t="s">
        <v>1</v>
      </c>
      <c r="D17" s="4" t="s">
        <v>147</v>
      </c>
      <c r="E17" s="3" t="str">
        <f>VLOOKUP(D17,'[1]ANALISIS (NEW)'!C:E,3,FALSE)</f>
        <v>QUICK CONN-HTR WATER</v>
      </c>
      <c r="F17" s="19" t="str">
        <f>VLOOKUP(D17,'[1]ANALISIS (NEW)'!C:AX,48,FALSE)</f>
        <v>NORMA GROUP CRAIG ASSEMB</v>
      </c>
      <c r="G17" s="15" t="str">
        <f>VLOOKUP(D:D,'[1]ANALISIS (NEW)'!C:BY,75,FALSE)</f>
        <v>EA</v>
      </c>
      <c r="H17" s="18" t="str">
        <f>VLOOKUP(D17,'[1]ANALISIS (NEW)'!C:BF,49,FALSE)</f>
        <v xml:space="preserve">US </v>
      </c>
      <c r="I17" s="17">
        <f>VLOOKUP(D17,'[1]ANALISIS (NEW)'!C:BF,50,FALSE)</f>
        <v>9</v>
      </c>
      <c r="J17" s="16">
        <f>VLOOKUP(D17,'[1]ANALISIS (NEW)'!C:BG,57,FALSE)</f>
        <v>1.409</v>
      </c>
      <c r="K17" s="15">
        <f>VLOOKUP(D17,'[1]ANALISIS (NEW)'!C:BF,56,FALSE)</f>
        <v>7412.363636363636</v>
      </c>
      <c r="L17" s="14">
        <v>4275</v>
      </c>
      <c r="M17" s="14">
        <f>VLOOKUP(D17,'[1]Inv Sem 23 pzas '!A:F,2,FALSE)</f>
        <v>0</v>
      </c>
      <c r="N17" s="14">
        <f>VLOOKUP(D17,'[1]Inv Sem 23 pzas '!A:F,3,FALSE)</f>
        <v>0</v>
      </c>
      <c r="O17" s="14">
        <f>VLOOKUP(D17,'[1]Inv Sem 23 pzas '!A:F,4,FALSE)</f>
        <v>3913</v>
      </c>
      <c r="P17" s="14">
        <f>VLOOKUP(D17,'[1]Inv Sem 23 pzas '!A:F,5,FALSE)</f>
        <v>0</v>
      </c>
      <c r="Q17" s="14">
        <f>VLOOKUP(D17,'[1]Inv Sem 23 pzas '!A:F,6,FALSE)</f>
        <v>18900</v>
      </c>
      <c r="R17" s="13">
        <f t="shared" si="1"/>
        <v>27088</v>
      </c>
      <c r="S17" s="12">
        <f t="shared" si="2"/>
        <v>38166.991999999998</v>
      </c>
      <c r="T17" s="11">
        <f t="shared" si="3"/>
        <v>0</v>
      </c>
      <c r="U17" s="11">
        <f t="shared" si="4"/>
        <v>0</v>
      </c>
      <c r="V17" s="11">
        <f t="shared" si="5"/>
        <v>0.5279017857142857</v>
      </c>
      <c r="W17" s="11">
        <f t="shared" si="6"/>
        <v>0</v>
      </c>
      <c r="X17" s="11">
        <f t="shared" si="7"/>
        <v>2.5497939560439562</v>
      </c>
      <c r="Y17" s="11">
        <f t="shared" si="8"/>
        <v>0.57673910910518056</v>
      </c>
      <c r="Z17" s="9">
        <f t="shared" si="9"/>
        <v>3.6544348508634226</v>
      </c>
      <c r="AA17" s="9">
        <f t="shared" si="10"/>
        <v>2.2857142857142856</v>
      </c>
      <c r="AB17" s="10">
        <f t="shared" si="11"/>
        <v>23872.046545454541</v>
      </c>
      <c r="AC17" s="9">
        <f t="shared" si="12"/>
        <v>1.368720565149137</v>
      </c>
      <c r="AD17" s="8">
        <f t="shared" si="13"/>
        <v>10145.454545454548</v>
      </c>
      <c r="AE17" s="7">
        <f t="shared" si="14"/>
        <v>14294.945454545457</v>
      </c>
    </row>
    <row r="18" spans="1:31" x14ac:dyDescent="0.25">
      <c r="A18" s="22">
        <f t="shared" ca="1" si="0"/>
        <v>46182</v>
      </c>
      <c r="B18" s="21" t="s">
        <v>2</v>
      </c>
      <c r="C18" s="20" t="s">
        <v>1</v>
      </c>
      <c r="D18" s="4" t="s">
        <v>146</v>
      </c>
      <c r="E18" s="3" t="str">
        <f>VLOOKUP(D18,'[1]ANALISIS (NEW)'!C:E,3,FALSE)</f>
        <v>GROMMET-A/C TUBE BRKT</v>
      </c>
      <c r="F18" s="19" t="str">
        <f>VLOOKUP(D18,'[1]ANALISIS (NEW)'!C:AX,48,FALSE)</f>
        <v>SINCLAIR &amp; RUSH, INC.</v>
      </c>
      <c r="G18" s="15" t="str">
        <f>VLOOKUP(D:D,'[1]ANALISIS (NEW)'!C:BY,75,FALSE)</f>
        <v>EA</v>
      </c>
      <c r="H18" s="18" t="str">
        <f>VLOOKUP(D18,'[1]ANALISIS (NEW)'!C:BF,49,FALSE)</f>
        <v xml:space="preserve">US </v>
      </c>
      <c r="I18" s="17">
        <f>VLOOKUP(D18,'[1]ANALISIS (NEW)'!C:BF,50,FALSE)</f>
        <v>9</v>
      </c>
      <c r="J18" s="16">
        <f>VLOOKUP(D18,'[1]ANALISIS (NEW)'!C:BG,57,FALSE)</f>
        <v>0.312</v>
      </c>
      <c r="K18" s="15">
        <f>VLOOKUP(D18,'[1]ANALISIS (NEW)'!C:BF,56,FALSE)+0.1</f>
        <v>19586.827272727271</v>
      </c>
      <c r="L18" s="14">
        <v>52000</v>
      </c>
      <c r="M18" s="14">
        <f>VLOOKUP(D18,'[1]Inv Sem 23 pzas '!A:F,2,FALSE)</f>
        <v>0</v>
      </c>
      <c r="N18" s="14">
        <f>VLOOKUP(D18,'[1]Inv Sem 23 pzas '!A:F,3,FALSE)</f>
        <v>0</v>
      </c>
      <c r="O18" s="14">
        <f>VLOOKUP(D18,'[1]Inv Sem 23 pzas '!A:F,4,FALSE)</f>
        <v>1745</v>
      </c>
      <c r="P18" s="14">
        <f>VLOOKUP(D18,'[1]Inv Sem 23 pzas '!A:F,5,FALSE)</f>
        <v>0</v>
      </c>
      <c r="Q18" s="14">
        <f>VLOOKUP(D18,'[1]Inv Sem 23 pzas '!A:F,6,FALSE)</f>
        <v>33000</v>
      </c>
      <c r="R18" s="13">
        <f t="shared" si="1"/>
        <v>86745</v>
      </c>
      <c r="S18" s="12">
        <f t="shared" si="2"/>
        <v>27064.44</v>
      </c>
      <c r="T18" s="11">
        <f t="shared" si="3"/>
        <v>0</v>
      </c>
      <c r="U18" s="11">
        <f t="shared" si="4"/>
        <v>0</v>
      </c>
      <c r="V18" s="11">
        <f t="shared" si="5"/>
        <v>8.9090487994946524E-2</v>
      </c>
      <c r="W18" s="11">
        <f t="shared" si="6"/>
        <v>0</v>
      </c>
      <c r="X18" s="11">
        <f t="shared" si="7"/>
        <v>1.6848057901623124</v>
      </c>
      <c r="Y18" s="11">
        <f t="shared" si="8"/>
        <v>2.6548454875284921</v>
      </c>
      <c r="Z18" s="9">
        <f t="shared" si="9"/>
        <v>4.4287417656857508</v>
      </c>
      <c r="AA18" s="9">
        <f t="shared" si="10"/>
        <v>2.2857142857142856</v>
      </c>
      <c r="AB18" s="10">
        <f t="shared" si="11"/>
        <v>13968.205963636361</v>
      </c>
      <c r="AC18" s="9">
        <f t="shared" si="12"/>
        <v>2.1430274799714653</v>
      </c>
      <c r="AD18" s="8">
        <f t="shared" si="13"/>
        <v>41975.109090909093</v>
      </c>
      <c r="AE18" s="7">
        <f t="shared" si="14"/>
        <v>13096.234036363638</v>
      </c>
    </row>
    <row r="19" spans="1:31" x14ac:dyDescent="0.25">
      <c r="A19" s="22">
        <f t="shared" ca="1" si="0"/>
        <v>46182</v>
      </c>
      <c r="B19" s="21" t="s">
        <v>2</v>
      </c>
      <c r="C19" s="20" t="s">
        <v>1</v>
      </c>
      <c r="D19" s="4" t="s">
        <v>145</v>
      </c>
      <c r="E19" s="3" t="str">
        <f>VLOOKUP(D19,'[1]ANALISIS (NEW)'!C:E,3,FALSE)</f>
        <v>VALVE CORE - A/C CHARGE VALVE</v>
      </c>
      <c r="F19" s="19" t="str">
        <f>VLOOKUP(D19,'[1]ANALISIS (NEW)'!C:AX,48,FALSE)</f>
        <v>SCHRADER BRIDGEPORT INTE</v>
      </c>
      <c r="G19" s="15" t="str">
        <f>VLOOKUP(D:D,'[1]ANALISIS (NEW)'!C:BY,75,FALSE)</f>
        <v>EA</v>
      </c>
      <c r="H19" s="18" t="str">
        <f>VLOOKUP(D19,'[1]ANALISIS (NEW)'!C:BF,49,FALSE)</f>
        <v xml:space="preserve">US </v>
      </c>
      <c r="I19" s="17">
        <f>VLOOKUP(D19,'[1]ANALISIS (NEW)'!C:BF,50,FALSE)</f>
        <v>9</v>
      </c>
      <c r="J19" s="16">
        <f>VLOOKUP(D19,'[1]ANALISIS (NEW)'!C:BG,57,FALSE)</f>
        <v>0.11</v>
      </c>
      <c r="K19" s="15">
        <f>VLOOKUP(D19,'[1]ANALISIS (NEW)'!C:BF,56,FALSE)</f>
        <v>26481.272727272728</v>
      </c>
      <c r="L19" s="14">
        <v>25000</v>
      </c>
      <c r="M19" s="14">
        <f>VLOOKUP(D19,'[1]Inv Sem 23 pzas '!A:F,2,FALSE)</f>
        <v>0</v>
      </c>
      <c r="N19" s="14">
        <f>VLOOKUP(D19,'[1]Inv Sem 23 pzas '!A:F,3,FALSE)</f>
        <v>50000</v>
      </c>
      <c r="O19" s="14">
        <f>VLOOKUP(D19,'[1]Inv Sem 23 pzas '!A:F,4,FALSE)</f>
        <v>4653</v>
      </c>
      <c r="P19" s="14">
        <f>VLOOKUP(D19,'[1]Inv Sem 23 pzas '!A:F,5,FALSE)</f>
        <v>0</v>
      </c>
      <c r="Q19" s="14">
        <f>VLOOKUP(D19,'[1]Inv Sem 23 pzas '!A:F,6,FALSE)</f>
        <v>85000</v>
      </c>
      <c r="R19" s="13">
        <f t="shared" si="1"/>
        <v>164653</v>
      </c>
      <c r="S19" s="12">
        <f t="shared" si="2"/>
        <v>18111.830000000002</v>
      </c>
      <c r="T19" s="11">
        <f t="shared" si="3"/>
        <v>0</v>
      </c>
      <c r="U19" s="11">
        <f t="shared" si="4"/>
        <v>1.8881267722644475</v>
      </c>
      <c r="V19" s="11">
        <f t="shared" si="5"/>
        <v>0.17570907742692948</v>
      </c>
      <c r="W19" s="11">
        <f t="shared" si="6"/>
        <v>0</v>
      </c>
      <c r="X19" s="11">
        <f t="shared" si="7"/>
        <v>3.2098155128495609</v>
      </c>
      <c r="Y19" s="11">
        <f t="shared" si="8"/>
        <v>0.94406338613222374</v>
      </c>
      <c r="Z19" s="9">
        <f t="shared" si="9"/>
        <v>6.2177147486731617</v>
      </c>
      <c r="AA19" s="9">
        <f t="shared" si="10"/>
        <v>2.2857142857142856</v>
      </c>
      <c r="AB19" s="10">
        <f t="shared" si="11"/>
        <v>6658.1485714285718</v>
      </c>
      <c r="AC19" s="9">
        <f t="shared" si="12"/>
        <v>3.9320004629588761</v>
      </c>
      <c r="AD19" s="8">
        <f t="shared" si="13"/>
        <v>104124.37662337662</v>
      </c>
      <c r="AE19" s="7">
        <f t="shared" si="14"/>
        <v>11453.681428571428</v>
      </c>
    </row>
    <row r="20" spans="1:31" x14ac:dyDescent="0.25">
      <c r="A20" s="22">
        <f t="shared" ca="1" si="0"/>
        <v>46182</v>
      </c>
      <c r="B20" s="21" t="s">
        <v>2</v>
      </c>
      <c r="C20" s="20" t="s">
        <v>1</v>
      </c>
      <c r="D20" s="4" t="s">
        <v>144</v>
      </c>
      <c r="E20" s="3" t="str">
        <f>VLOOKUP(D20,'[1]ANALISIS (NEW)'!C:E,3,FALSE)</f>
        <v>O-RING FLUID TRANSPORT</v>
      </c>
      <c r="F20" s="19" t="str">
        <f>VLOOKUP(D20,'[1]ANALISIS (NEW)'!C:AX,48,FALSE)</f>
        <v>TRELLEBORG SEALING SOLUT</v>
      </c>
      <c r="G20" s="15" t="str">
        <f>VLOOKUP(D:D,'[1]ANALISIS (NEW)'!C:BY,75,FALSE)</f>
        <v>EA</v>
      </c>
      <c r="H20" s="18" t="str">
        <f>VLOOKUP(D20,'[1]ANALISIS (NEW)'!C:BF,49,FALSE)</f>
        <v xml:space="preserve">US </v>
      </c>
      <c r="I20" s="17">
        <f>VLOOKUP(D20,'[1]ANALISIS (NEW)'!C:BF,50,FALSE)</f>
        <v>9</v>
      </c>
      <c r="J20" s="16">
        <f>VLOOKUP(D20,'[1]ANALISIS (NEW)'!C:BG,57,FALSE)</f>
        <v>0.15869999999999998</v>
      </c>
      <c r="K20" s="15">
        <f>VLOOKUP(D20,'[1]ANALISIS (NEW)'!C:BF,56,FALSE)</f>
        <v>7775.272727272727</v>
      </c>
      <c r="L20" s="14">
        <v>20000</v>
      </c>
      <c r="M20" s="14">
        <f>VLOOKUP(D20,'[1]Inv Sem 23 pzas '!A:F,2,FALSE)</f>
        <v>0</v>
      </c>
      <c r="N20" s="14">
        <f>VLOOKUP(D20,'[1]Inv Sem 23 pzas '!A:F,3,FALSE)</f>
        <v>10000</v>
      </c>
      <c r="O20" s="14">
        <f>VLOOKUP(D20,'[1]Inv Sem 23 pzas '!A:F,4,FALSE)</f>
        <v>3760</v>
      </c>
      <c r="P20" s="14">
        <f>VLOOKUP(D20,'[1]Inv Sem 23 pzas '!A:F,5,FALSE)</f>
        <v>0</v>
      </c>
      <c r="Q20" s="14">
        <f>VLOOKUP(D20,'[1]Inv Sem 23 pzas '!A:F,6,FALSE)</f>
        <v>52000</v>
      </c>
      <c r="R20" s="13">
        <f t="shared" si="1"/>
        <v>85760</v>
      </c>
      <c r="S20" s="12">
        <f t="shared" si="2"/>
        <v>13610.111999999999</v>
      </c>
      <c r="T20" s="11">
        <f t="shared" si="3"/>
        <v>0</v>
      </c>
      <c r="U20" s="11">
        <f t="shared" si="4"/>
        <v>1.286128519315312</v>
      </c>
      <c r="V20" s="11">
        <f t="shared" si="5"/>
        <v>0.48358432326255729</v>
      </c>
      <c r="W20" s="11">
        <f t="shared" si="6"/>
        <v>0</v>
      </c>
      <c r="X20" s="11">
        <f t="shared" si="7"/>
        <v>6.6878683004396224</v>
      </c>
      <c r="Y20" s="11">
        <f t="shared" si="8"/>
        <v>2.572257038630624</v>
      </c>
      <c r="Z20" s="9">
        <f t="shared" si="9"/>
        <v>11.029838181648117</v>
      </c>
      <c r="AA20" s="9">
        <f t="shared" si="10"/>
        <v>2.2857142857142856</v>
      </c>
      <c r="AB20" s="10">
        <f t="shared" si="11"/>
        <v>2820.4246441558435</v>
      </c>
      <c r="AC20" s="9">
        <f t="shared" si="12"/>
        <v>8.7441238959338321</v>
      </c>
      <c r="AD20" s="8">
        <f t="shared" si="13"/>
        <v>67987.948051948071</v>
      </c>
      <c r="AE20" s="7">
        <f t="shared" si="14"/>
        <v>10789.687355844158</v>
      </c>
    </row>
    <row r="21" spans="1:31" x14ac:dyDescent="0.25">
      <c r="A21" s="22">
        <f t="shared" ca="1" si="0"/>
        <v>46182</v>
      </c>
      <c r="B21" s="21" t="s">
        <v>2</v>
      </c>
      <c r="C21" s="20" t="s">
        <v>1</v>
      </c>
      <c r="D21" s="4" t="s">
        <v>143</v>
      </c>
      <c r="E21" s="3" t="str">
        <f>VLOOKUP(D21,'[1]ANALISIS (NEW)'!C:E,3,FALSE)</f>
        <v>BRKT/CLIP-A/C LINE</v>
      </c>
      <c r="F21" s="19" t="str">
        <f>VLOOKUP(D21,'[1]ANALISIS (NEW)'!C:AX,48,FALSE)</f>
        <v>PRECISE TOOL &amp; DIE LIMIT</v>
      </c>
      <c r="G21" s="15" t="str">
        <f>VLOOKUP(D:D,'[1]ANALISIS (NEW)'!C:BY,75,FALSE)</f>
        <v>EA</v>
      </c>
      <c r="H21" s="18" t="str">
        <f>VLOOKUP(D21,'[1]ANALISIS (NEW)'!C:BF,49,FALSE)</f>
        <v xml:space="preserve">CA </v>
      </c>
      <c r="I21" s="17">
        <f>VLOOKUP(D21,'[1]ANALISIS (NEW)'!C:BF,50,FALSE)</f>
        <v>11</v>
      </c>
      <c r="J21" s="16">
        <f>VLOOKUP(D21,'[1]ANALISIS (NEW)'!C:BG,57,FALSE)</f>
        <v>0.71679999999999999</v>
      </c>
      <c r="K21" s="15">
        <f>VLOOKUP(D21,'[1]ANALISIS (NEW)'!C:BF,56,FALSE)+1</f>
        <v>4016.6363636363635</v>
      </c>
      <c r="L21" s="14">
        <v>4800</v>
      </c>
      <c r="M21" s="14">
        <f>VLOOKUP(D21,'[1]Inv Sem 23 pzas '!A:F,2,FALSE)</f>
        <v>0</v>
      </c>
      <c r="N21" s="14">
        <f>VLOOKUP(D21,'[1]Inv Sem 23 pzas '!A:F,3,FALSE)</f>
        <v>9600</v>
      </c>
      <c r="O21" s="14">
        <f>VLOOKUP(D21,'[1]Inv Sem 23 pzas '!A:F,4,FALSE)</f>
        <v>3093</v>
      </c>
      <c r="P21" s="14">
        <f>VLOOKUP(D21,'[1]Inv Sem 23 pzas '!A:F,5,FALSE)</f>
        <v>0</v>
      </c>
      <c r="Q21" s="14">
        <f>VLOOKUP(D21,'[1]Inv Sem 23 pzas '!A:F,6,FALSE)</f>
        <v>7600</v>
      </c>
      <c r="R21" s="13">
        <f t="shared" si="1"/>
        <v>25093</v>
      </c>
      <c r="S21" s="12">
        <f t="shared" si="2"/>
        <v>17986.662400000001</v>
      </c>
      <c r="T21" s="11">
        <f t="shared" si="3"/>
        <v>0</v>
      </c>
      <c r="U21" s="11">
        <f t="shared" si="4"/>
        <v>2.3900595251567345</v>
      </c>
      <c r="V21" s="11">
        <f t="shared" si="5"/>
        <v>0.77004730326143545</v>
      </c>
      <c r="W21" s="11">
        <f t="shared" si="6"/>
        <v>0</v>
      </c>
      <c r="X21" s="11">
        <f t="shared" si="7"/>
        <v>1.8921304574157483</v>
      </c>
      <c r="Y21" s="11">
        <f t="shared" si="8"/>
        <v>1.1950297625783672</v>
      </c>
      <c r="Z21" s="9">
        <f t="shared" si="9"/>
        <v>6.2472670484122856</v>
      </c>
      <c r="AA21" s="9">
        <f t="shared" si="10"/>
        <v>2.5714285714285716</v>
      </c>
      <c r="AB21" s="10">
        <f t="shared" si="11"/>
        <v>7403.4641454545454</v>
      </c>
      <c r="AC21" s="9">
        <f t="shared" si="12"/>
        <v>3.675838476983714</v>
      </c>
      <c r="AD21" s="8">
        <f t="shared" si="13"/>
        <v>14764.506493506493</v>
      </c>
      <c r="AE21" s="7">
        <f t="shared" si="14"/>
        <v>10583.198254545454</v>
      </c>
    </row>
    <row r="22" spans="1:31" x14ac:dyDescent="0.25">
      <c r="A22" s="22">
        <f t="shared" ca="1" si="0"/>
        <v>46182</v>
      </c>
      <c r="B22" s="21" t="s">
        <v>2</v>
      </c>
      <c r="C22" s="20" t="s">
        <v>1</v>
      </c>
      <c r="D22" s="4" t="s">
        <v>142</v>
      </c>
      <c r="E22" s="3" t="str">
        <f>VLOOKUP(D22,'[1]ANALISIS (NEW)'!C:E,3,FALSE)</f>
        <v>GSKT-A/C LINE SEAL'G</v>
      </c>
      <c r="F22" s="19" t="str">
        <f>VLOOKUP(D22,'[1]ANALISIS (NEW)'!C:AX,48,FALSE)</f>
        <v>PARKER HANNIFIN CORPORAT</v>
      </c>
      <c r="G22" s="15" t="str">
        <f>VLOOKUP(D:D,'[1]ANALISIS (NEW)'!C:BY,75,FALSE)</f>
        <v>EA</v>
      </c>
      <c r="H22" s="18" t="str">
        <f>VLOOKUP(D22,'[1]ANALISIS (NEW)'!C:BF,49,FALSE)</f>
        <v xml:space="preserve">US </v>
      </c>
      <c r="I22" s="17">
        <f>VLOOKUP(D22,'[1]ANALISIS (NEW)'!C:BF,50,FALSE)</f>
        <v>9</v>
      </c>
      <c r="J22" s="16">
        <f>VLOOKUP(D22,'[1]ANALISIS (NEW)'!C:BG,57,FALSE)</f>
        <v>0.15330000000000002</v>
      </c>
      <c r="K22" s="15">
        <f>VLOOKUP(D22,'[1]ANALISIS (NEW)'!C:BF,56,FALSE)+1</f>
        <v>20399.363636363636</v>
      </c>
      <c r="L22" s="14">
        <v>20000</v>
      </c>
      <c r="M22" s="14">
        <f>VLOOKUP(D22,'[1]Inv Sem 23 pzas '!A:F,2,FALSE)</f>
        <v>0</v>
      </c>
      <c r="N22" s="14">
        <f>VLOOKUP(D22,'[1]Inv Sem 23 pzas '!A:F,3,FALSE)</f>
        <v>30000</v>
      </c>
      <c r="O22" s="14">
        <f>VLOOKUP(D22,'[1]Inv Sem 23 pzas '!A:F,4,FALSE)</f>
        <v>11104</v>
      </c>
      <c r="P22" s="14">
        <f>VLOOKUP(D22,'[1]Inv Sem 23 pzas '!A:F,5,FALSE)</f>
        <v>0</v>
      </c>
      <c r="Q22" s="14">
        <f>VLOOKUP(D22,'[1]Inv Sem 23 pzas '!A:F,6,FALSE)</f>
        <v>53000</v>
      </c>
      <c r="R22" s="13">
        <f t="shared" si="1"/>
        <v>114104</v>
      </c>
      <c r="S22" s="12">
        <f t="shared" si="2"/>
        <v>17492.143200000002</v>
      </c>
      <c r="T22" s="11">
        <f t="shared" si="3"/>
        <v>0</v>
      </c>
      <c r="U22" s="11">
        <f t="shared" si="4"/>
        <v>1.4706341106897274</v>
      </c>
      <c r="V22" s="11">
        <f t="shared" si="5"/>
        <v>0.5443307055032911</v>
      </c>
      <c r="W22" s="11">
        <f t="shared" si="6"/>
        <v>0</v>
      </c>
      <c r="X22" s="11">
        <f t="shared" si="7"/>
        <v>2.5981202622185187</v>
      </c>
      <c r="Y22" s="11">
        <f t="shared" si="8"/>
        <v>0.98042274045981825</v>
      </c>
      <c r="Z22" s="9">
        <f t="shared" si="9"/>
        <v>5.5935078188713554</v>
      </c>
      <c r="AA22" s="9">
        <f t="shared" si="10"/>
        <v>2.2857142857142856</v>
      </c>
      <c r="AB22" s="10">
        <f t="shared" si="11"/>
        <v>7147.9370181818194</v>
      </c>
      <c r="AC22" s="9">
        <f t="shared" si="12"/>
        <v>3.3077935331570698</v>
      </c>
      <c r="AD22" s="8">
        <f t="shared" si="13"/>
        <v>67476.883116883124</v>
      </c>
      <c r="AE22" s="7">
        <f t="shared" si="14"/>
        <v>10344.206181818185</v>
      </c>
    </row>
    <row r="23" spans="1:31" x14ac:dyDescent="0.25">
      <c r="A23" s="22">
        <f t="shared" ca="1" si="0"/>
        <v>46182</v>
      </c>
      <c r="B23" s="21" t="s">
        <v>2</v>
      </c>
      <c r="C23" s="20" t="s">
        <v>1</v>
      </c>
      <c r="D23" s="4" t="s">
        <v>141</v>
      </c>
      <c r="E23" s="3" t="str">
        <f>VLOOKUP(D23,'[1]ANALISIS (NEW)'!C:E,3,FALSE)</f>
        <v>SLV NVH RUBBER NON SLT T7_D28_L0140</v>
      </c>
      <c r="F23" s="19" t="str">
        <f>VLOOKUP(D23,'[1]ANALISIS (NEW)'!C:AX,48,FALSE)</f>
        <v>COLONIAL DPP LLC</v>
      </c>
      <c r="G23" s="15" t="str">
        <f>VLOOKUP(D:D,'[1]ANALISIS (NEW)'!C:BY,75,FALSE)</f>
        <v>EA</v>
      </c>
      <c r="H23" s="18" t="str">
        <f>VLOOKUP(D23,'[1]ANALISIS (NEW)'!C:BF,49,FALSE)</f>
        <v xml:space="preserve">US </v>
      </c>
      <c r="I23" s="17">
        <f>VLOOKUP(D23,'[1]ANALISIS (NEW)'!C:BF,50,FALSE)</f>
        <v>9</v>
      </c>
      <c r="J23" s="16">
        <f>VLOOKUP(D23,'[1]ANALISIS (NEW)'!C:BG,57,FALSE)</f>
        <v>0.72939999999999994</v>
      </c>
      <c r="K23" s="15">
        <f>VLOOKUP(D23,'[1]ANALISIS (NEW)'!C:BF,56,FALSE)</f>
        <v>4750.727272727273</v>
      </c>
      <c r="L23" s="14">
        <v>8875</v>
      </c>
      <c r="M23" s="14">
        <f>VLOOKUP(D23,'[1]Inv Sem 23 pzas '!A:F,2,FALSE)</f>
        <v>0</v>
      </c>
      <c r="N23" s="14">
        <f>VLOOKUP(D23,'[1]Inv Sem 23 pzas '!A:F,3,FALSE)</f>
        <v>7625</v>
      </c>
      <c r="O23" s="14">
        <f>VLOOKUP(D23,'[1]Inv Sem 23 pzas '!A:F,4,FALSE)</f>
        <v>-188</v>
      </c>
      <c r="P23" s="14">
        <f>VLOOKUP(D23,'[1]Inv Sem 23 pzas '!A:F,5,FALSE)</f>
        <v>0</v>
      </c>
      <c r="Q23" s="14">
        <f>VLOOKUP(D23,'[1]Inv Sem 23 pzas '!A:F,6,FALSE)</f>
        <v>8250</v>
      </c>
      <c r="R23" s="13">
        <f t="shared" si="1"/>
        <v>24562</v>
      </c>
      <c r="S23" s="12">
        <f t="shared" si="2"/>
        <v>17915.522799999999</v>
      </c>
      <c r="T23" s="11">
        <f t="shared" si="3"/>
        <v>0</v>
      </c>
      <c r="U23" s="11">
        <f t="shared" si="4"/>
        <v>1.6050174136017452</v>
      </c>
      <c r="V23" s="11">
        <f t="shared" si="5"/>
        <v>-3.957288836159057E-2</v>
      </c>
      <c r="W23" s="11">
        <f t="shared" si="6"/>
        <v>0</v>
      </c>
      <c r="X23" s="11">
        <f t="shared" si="7"/>
        <v>1.7365762179953308</v>
      </c>
      <c r="Y23" s="11">
        <f t="shared" si="8"/>
        <v>1.8681350223889164</v>
      </c>
      <c r="Z23" s="9">
        <f t="shared" si="9"/>
        <v>5.1701557656244015</v>
      </c>
      <c r="AA23" s="9">
        <f t="shared" si="10"/>
        <v>2.2857142857142856</v>
      </c>
      <c r="AB23" s="10">
        <f t="shared" si="11"/>
        <v>7920.4125090909083</v>
      </c>
      <c r="AC23" s="9">
        <f t="shared" si="12"/>
        <v>2.8844414799101159</v>
      </c>
      <c r="AD23" s="8">
        <f t="shared" si="13"/>
        <v>13703.194805194804</v>
      </c>
      <c r="AE23" s="7">
        <f t="shared" si="14"/>
        <v>9995.1102909090896</v>
      </c>
    </row>
    <row r="24" spans="1:31" x14ac:dyDescent="0.25">
      <c r="A24" s="22">
        <f t="shared" ca="1" si="0"/>
        <v>46182</v>
      </c>
      <c r="B24" s="21" t="s">
        <v>2</v>
      </c>
      <c r="C24" s="20" t="s">
        <v>1</v>
      </c>
      <c r="D24" s="4" t="s">
        <v>140</v>
      </c>
      <c r="E24" s="3" t="str">
        <f>VLOOKUP(D24,'[1]ANALISIS (NEW)'!C:E,3,FALSE)</f>
        <v>HOSE-A/C FORMED-BARRIER GALAXY 3/4 4868</v>
      </c>
      <c r="F24" s="19" t="str">
        <f>VLOOKUP(D24,'[1]ANALISIS (NEW)'!C:AX,48,FALSE)</f>
        <v>CONTITECH NORTH AMERICA,</v>
      </c>
      <c r="G24" s="15" t="str">
        <f>VLOOKUP(D:D,'[1]ANALISIS (NEW)'!C:BY,75,FALSE)</f>
        <v>EA</v>
      </c>
      <c r="H24" s="18" t="str">
        <f>VLOOKUP(D24,'[1]ANALISIS (NEW)'!C:BF,49,FALSE)</f>
        <v xml:space="preserve">US </v>
      </c>
      <c r="I24" s="17">
        <f>VLOOKUP(D24,'[1]ANALISIS (NEW)'!C:BF,50,FALSE)</f>
        <v>9</v>
      </c>
      <c r="J24" s="16">
        <f>VLOOKUP(D24,'[1]ANALISIS (NEW)'!C:BG,57,FALSE)</f>
        <v>3.76</v>
      </c>
      <c r="K24" s="15">
        <f>VLOOKUP(D24,'[1]ANALISIS (NEW)'!C:BF,56,FALSE)+1</f>
        <v>1</v>
      </c>
      <c r="L24" s="14">
        <v>0</v>
      </c>
      <c r="M24" s="14">
        <f>VLOOKUP(D24,'[1]Inv Sem 23 pzas '!A:F,2,FALSE)</f>
        <v>0</v>
      </c>
      <c r="N24" s="14">
        <f>VLOOKUP(D24,'[1]Inv Sem 23 pzas '!A:F,3,FALSE)</f>
        <v>100</v>
      </c>
      <c r="O24" s="14">
        <f>VLOOKUP(D24,'[1]Inv Sem 23 pzas '!A:F,4,FALSE)</f>
        <v>50</v>
      </c>
      <c r="P24" s="14">
        <f>VLOOKUP(D24,'[1]Inv Sem 23 pzas '!A:F,5,FALSE)</f>
        <v>0</v>
      </c>
      <c r="Q24" s="14">
        <f>VLOOKUP(D24,'[1]Inv Sem 23 pzas '!A:F,6,FALSE)</f>
        <v>2400</v>
      </c>
      <c r="R24" s="13">
        <f t="shared" si="1"/>
        <v>2550</v>
      </c>
      <c r="S24" s="12">
        <f t="shared" si="2"/>
        <v>9588</v>
      </c>
      <c r="T24" s="11">
        <f t="shared" si="3"/>
        <v>0</v>
      </c>
      <c r="U24" s="11">
        <f t="shared" si="4"/>
        <v>100</v>
      </c>
      <c r="V24" s="11">
        <f t="shared" si="5"/>
        <v>50</v>
      </c>
      <c r="W24" s="11">
        <f t="shared" si="6"/>
        <v>0</v>
      </c>
      <c r="X24" s="11">
        <f t="shared" si="7"/>
        <v>2400</v>
      </c>
      <c r="Y24" s="11">
        <f t="shared" si="8"/>
        <v>0</v>
      </c>
      <c r="Z24" s="9">
        <f t="shared" si="9"/>
        <v>2550</v>
      </c>
      <c r="AA24" s="9">
        <f t="shared" si="10"/>
        <v>2.2857142857142856</v>
      </c>
      <c r="AB24" s="10">
        <f t="shared" si="11"/>
        <v>8.5942857142857125</v>
      </c>
      <c r="AC24" s="9">
        <f t="shared" si="12"/>
        <v>2547.7142857142858</v>
      </c>
      <c r="AD24" s="8">
        <f t="shared" si="13"/>
        <v>2547.7142857142858</v>
      </c>
      <c r="AE24" s="7">
        <f t="shared" si="14"/>
        <v>9579.4057142857146</v>
      </c>
    </row>
    <row r="25" spans="1:31" x14ac:dyDescent="0.25">
      <c r="A25" s="22">
        <f t="shared" ca="1" si="0"/>
        <v>46182</v>
      </c>
      <c r="B25" s="21" t="s">
        <v>2</v>
      </c>
      <c r="C25" s="20" t="s">
        <v>1</v>
      </c>
      <c r="D25" s="4" t="s">
        <v>139</v>
      </c>
      <c r="E25" s="3" t="str">
        <f>VLOOKUP(D25,'[1]ANALISIS (NEW)'!C:E,3,FALSE)</f>
        <v>HOSE-A/C FORMED-BARRIER GALAXY 3/4 4886</v>
      </c>
      <c r="F25" s="19" t="str">
        <f>VLOOKUP(D25,'[1]ANALISIS (NEW)'!C:AX,48,FALSE)</f>
        <v>CONTITECH NORTH AMERICA, INC.</v>
      </c>
      <c r="G25" s="15" t="str">
        <f>VLOOKUP(D:D,'[1]ANALISIS (NEW)'!C:BY,75,FALSE)</f>
        <v>EA</v>
      </c>
      <c r="H25" s="18" t="str">
        <f>VLOOKUP(D25,'[1]ANALISIS (NEW)'!C:BF,49,FALSE)</f>
        <v xml:space="preserve">US </v>
      </c>
      <c r="I25" s="17">
        <f>VLOOKUP(D25,'[1]ANALISIS (NEW)'!C:BF,50,FALSE)</f>
        <v>9</v>
      </c>
      <c r="J25" s="16">
        <f>VLOOKUP(D25,'[1]ANALISIS (NEW)'!C:BG,57,FALSE)</f>
        <v>3.5579999999999998</v>
      </c>
      <c r="K25" s="15">
        <f>VLOOKUP(D25,'[1]ANALISIS (NEW)'!C:BF,56,FALSE)</f>
        <v>6.5454545454545459</v>
      </c>
      <c r="L25" s="14">
        <v>0</v>
      </c>
      <c r="M25" s="14">
        <f>VLOOKUP(D25,'[1]Inv Sem 23 pzas '!A:F,2,FALSE)</f>
        <v>0</v>
      </c>
      <c r="N25" s="14">
        <f>VLOOKUP(D25,'[1]Inv Sem 23 pzas '!A:F,3,FALSE)</f>
        <v>2550</v>
      </c>
      <c r="O25" s="14">
        <f>VLOOKUP(D25,'[1]Inv Sem 23 pzas '!A:F,4,FALSE)</f>
        <v>-19</v>
      </c>
      <c r="P25" s="14">
        <f>VLOOKUP(D25,'[1]Inv Sem 23 pzas '!A:F,5,FALSE)</f>
        <v>0</v>
      </c>
      <c r="Q25" s="14">
        <f>VLOOKUP(D25,'[1]Inv Sem 23 pzas '!A:F,6,FALSE)</f>
        <v>123</v>
      </c>
      <c r="R25" s="13">
        <f t="shared" si="1"/>
        <v>2654</v>
      </c>
      <c r="S25" s="12">
        <f t="shared" si="2"/>
        <v>9442.9319999999989</v>
      </c>
      <c r="T25" s="11">
        <f t="shared" si="3"/>
        <v>0</v>
      </c>
      <c r="U25" s="11">
        <f t="shared" si="4"/>
        <v>389.58333333333331</v>
      </c>
      <c r="V25" s="11">
        <f t="shared" si="5"/>
        <v>-2.9027777777777777</v>
      </c>
      <c r="W25" s="11">
        <f t="shared" si="6"/>
        <v>0</v>
      </c>
      <c r="X25" s="11">
        <f t="shared" si="7"/>
        <v>18.791666666666664</v>
      </c>
      <c r="Y25" s="11">
        <f t="shared" si="8"/>
        <v>0</v>
      </c>
      <c r="Z25" s="9">
        <f t="shared" si="9"/>
        <v>405.47222222222223</v>
      </c>
      <c r="AA25" s="9">
        <f t="shared" si="10"/>
        <v>2.2857142857142856</v>
      </c>
      <c r="AB25" s="10">
        <f t="shared" si="11"/>
        <v>53.231376623376619</v>
      </c>
      <c r="AC25" s="9">
        <f t="shared" si="12"/>
        <v>403.18650793650795</v>
      </c>
      <c r="AD25" s="8">
        <f t="shared" si="13"/>
        <v>2639.0389610389611</v>
      </c>
      <c r="AE25" s="7">
        <f t="shared" si="14"/>
        <v>9389.7006233766224</v>
      </c>
    </row>
    <row r="26" spans="1:31" x14ac:dyDescent="0.25">
      <c r="A26" s="22">
        <f t="shared" ca="1" si="0"/>
        <v>46182</v>
      </c>
      <c r="B26" s="21" t="s">
        <v>2</v>
      </c>
      <c r="C26" s="20" t="s">
        <v>1</v>
      </c>
      <c r="D26" s="4" t="s">
        <v>138</v>
      </c>
      <c r="E26" s="3" t="str">
        <f>VLOOKUP(D26,'[1]ANALISIS (NEW)'!C:E,3,FALSE)</f>
        <v>SLV HT ALU FOIL FBRGLS</v>
      </c>
      <c r="F26" s="19" t="str">
        <f>VLOOKUP(D26,'[1]ANALISIS (NEW)'!C:AX,48,FALSE)</f>
        <v>FEDERAL-MOGUL POWERTRAIN</v>
      </c>
      <c r="G26" s="15" t="str">
        <f>VLOOKUP(D:D,'[1]ANALISIS (NEW)'!C:BY,75,FALSE)</f>
        <v>EA</v>
      </c>
      <c r="H26" s="18" t="str">
        <f>VLOOKUP(D26,'[1]ANALISIS (NEW)'!C:BF,49,FALSE)</f>
        <v xml:space="preserve">US </v>
      </c>
      <c r="I26" s="17">
        <f>VLOOKUP(D26,'[1]ANALISIS (NEW)'!C:BF,50,FALSE)</f>
        <v>9</v>
      </c>
      <c r="J26" s="16">
        <f>VLOOKUP(D26,'[1]ANALISIS (NEW)'!C:BG,57,FALSE)</f>
        <v>0.23519999999999999</v>
      </c>
      <c r="K26" s="15">
        <f>VLOOKUP(D26,'[1]ANALISIS (NEW)'!C:BF,56,FALSE)</f>
        <v>14824.727272727272</v>
      </c>
      <c r="L26" s="14">
        <v>0</v>
      </c>
      <c r="M26" s="14">
        <f>VLOOKUP(D26,'[1]Inv Sem 23 pzas '!A:F,2,FALSE)</f>
        <v>0</v>
      </c>
      <c r="N26" s="14">
        <f>VLOOKUP(D26,'[1]Inv Sem 23 pzas '!A:F,3,FALSE)</f>
        <v>22800</v>
      </c>
      <c r="O26" s="14">
        <f>VLOOKUP(D26,'[1]Inv Sem 23 pzas '!A:F,4,FALSE)</f>
        <v>11184</v>
      </c>
      <c r="P26" s="14">
        <f>VLOOKUP(D26,'[1]Inv Sem 23 pzas '!A:F,5,FALSE)</f>
        <v>0</v>
      </c>
      <c r="Q26" s="14">
        <f>VLOOKUP(D26,'[1]Inv Sem 23 pzas '!A:F,6,FALSE)</f>
        <v>39000</v>
      </c>
      <c r="R26" s="13">
        <f t="shared" si="1"/>
        <v>72984</v>
      </c>
      <c r="S26" s="12">
        <f t="shared" si="2"/>
        <v>17165.836800000001</v>
      </c>
      <c r="T26" s="11">
        <f t="shared" si="3"/>
        <v>0</v>
      </c>
      <c r="U26" s="11">
        <f t="shared" si="4"/>
        <v>1.5379709576138147</v>
      </c>
      <c r="V26" s="11">
        <f t="shared" si="5"/>
        <v>0.75441522762951341</v>
      </c>
      <c r="W26" s="11">
        <f t="shared" si="6"/>
        <v>0</v>
      </c>
      <c r="X26" s="11">
        <f t="shared" si="7"/>
        <v>2.6307397959183674</v>
      </c>
      <c r="Y26" s="11">
        <f t="shared" si="8"/>
        <v>0</v>
      </c>
      <c r="Z26" s="9">
        <f t="shared" si="9"/>
        <v>4.9231259811616956</v>
      </c>
      <c r="AA26" s="9">
        <f t="shared" si="10"/>
        <v>2.2857142857142856</v>
      </c>
      <c r="AB26" s="10">
        <f t="shared" si="11"/>
        <v>7969.7733818181805</v>
      </c>
      <c r="AC26" s="9">
        <f t="shared" si="12"/>
        <v>2.6374116954474101</v>
      </c>
      <c r="AD26" s="8">
        <f t="shared" si="13"/>
        <v>39098.909090909096</v>
      </c>
      <c r="AE26" s="7">
        <f t="shared" si="14"/>
        <v>9196.0634181818186</v>
      </c>
    </row>
    <row r="27" spans="1:31" x14ac:dyDescent="0.25">
      <c r="A27" s="22">
        <f t="shared" ca="1" si="0"/>
        <v>46182</v>
      </c>
      <c r="B27" s="21" t="s">
        <v>2</v>
      </c>
      <c r="C27" s="20" t="s">
        <v>1</v>
      </c>
      <c r="D27" s="4" t="s">
        <v>137</v>
      </c>
      <c r="E27" s="3" t="str">
        <f>VLOOKUP(D27,'[1]ANALISIS (NEW)'!C:E,3,FALSE)</f>
        <v>HOSE-A/C FORMED-BARRIER GALAXY 3/4 4868</v>
      </c>
      <c r="F27" s="19" t="str">
        <f>VLOOKUP(D27,'[1]ANALISIS (NEW)'!C:AX,48,FALSE)</f>
        <v>CONTITECH NORTH AMERICA,</v>
      </c>
      <c r="G27" s="15" t="str">
        <f>VLOOKUP(D:D,'[1]ANALISIS (NEW)'!C:BY,75,FALSE)</f>
        <v>EA</v>
      </c>
      <c r="H27" s="18" t="str">
        <f>VLOOKUP(D27,'[1]ANALISIS (NEW)'!C:BF,49,FALSE)</f>
        <v xml:space="preserve">US </v>
      </c>
      <c r="I27" s="17">
        <f>VLOOKUP(D27,'[1]ANALISIS (NEW)'!C:BF,50,FALSE)</f>
        <v>9</v>
      </c>
      <c r="J27" s="16">
        <f>VLOOKUP(D27,'[1]ANALISIS (NEW)'!C:BG,57,FALSE)</f>
        <v>2.6669999999999998</v>
      </c>
      <c r="K27" s="15">
        <f>VLOOKUP(D27,'[1]ANALISIS (NEW)'!C:BF,56,FALSE)+1</f>
        <v>1</v>
      </c>
      <c r="L27" s="14">
        <v>0</v>
      </c>
      <c r="M27" s="14">
        <f>VLOOKUP(D27,'[1]Inv Sem 23 pzas '!A:F,2,FALSE)</f>
        <v>0</v>
      </c>
      <c r="N27" s="14">
        <f>VLOOKUP(D27,'[1]Inv Sem 23 pzas '!A:F,3,FALSE)</f>
        <v>2200</v>
      </c>
      <c r="O27" s="14">
        <f>VLOOKUP(D27,'[1]Inv Sem 23 pzas '!A:F,4,FALSE)</f>
        <v>23</v>
      </c>
      <c r="P27" s="14">
        <f>VLOOKUP(D27,'[1]Inv Sem 23 pzas '!A:F,5,FALSE)</f>
        <v>0</v>
      </c>
      <c r="Q27" s="14">
        <f>VLOOKUP(D27,'[1]Inv Sem 23 pzas '!A:F,6,FALSE)</f>
        <v>1200</v>
      </c>
      <c r="R27" s="13">
        <f t="shared" si="1"/>
        <v>3423</v>
      </c>
      <c r="S27" s="12">
        <f t="shared" si="2"/>
        <v>9129.1409999999996</v>
      </c>
      <c r="T27" s="11">
        <f t="shared" si="3"/>
        <v>0</v>
      </c>
      <c r="U27" s="11">
        <f t="shared" si="4"/>
        <v>2200</v>
      </c>
      <c r="V27" s="11">
        <f t="shared" si="5"/>
        <v>23</v>
      </c>
      <c r="W27" s="11">
        <f t="shared" si="6"/>
        <v>0</v>
      </c>
      <c r="X27" s="11">
        <f t="shared" si="7"/>
        <v>1200</v>
      </c>
      <c r="Y27" s="11">
        <f t="shared" si="8"/>
        <v>0</v>
      </c>
      <c r="Z27" s="9">
        <f t="shared" si="9"/>
        <v>3423</v>
      </c>
      <c r="AA27" s="9">
        <f t="shared" si="10"/>
        <v>2.2857142857142856</v>
      </c>
      <c r="AB27" s="10">
        <f t="shared" si="11"/>
        <v>6.0959999999999992</v>
      </c>
      <c r="AC27" s="9">
        <f t="shared" si="12"/>
        <v>3420.7142857142858</v>
      </c>
      <c r="AD27" s="8">
        <f t="shared" si="13"/>
        <v>3420.7142857142858</v>
      </c>
      <c r="AE27" s="7">
        <f t="shared" si="14"/>
        <v>9123.0450000000001</v>
      </c>
    </row>
    <row r="28" spans="1:31" x14ac:dyDescent="0.25">
      <c r="A28" s="22">
        <f t="shared" ca="1" si="0"/>
        <v>46182</v>
      </c>
      <c r="B28" s="21" t="s">
        <v>2</v>
      </c>
      <c r="C28" s="20" t="s">
        <v>1</v>
      </c>
      <c r="D28" s="4" t="s">
        <v>136</v>
      </c>
      <c r="E28" s="3" t="str">
        <f>VLOOKUP(D28,'[1]ANALISIS (NEW)'!C:E,3,FALSE)</f>
        <v>STRAP</v>
      </c>
      <c r="F28" s="19" t="str">
        <f>VLOOKUP(D28,'[1]ANALISIS (NEW)'!C:AX,48,FALSE)</f>
        <v>HELLERMANN TYTON CORPORA</v>
      </c>
      <c r="G28" s="15" t="str">
        <f>VLOOKUP(D:D,'[1]ANALISIS (NEW)'!C:BY,75,FALSE)</f>
        <v>EA</v>
      </c>
      <c r="H28" s="18" t="str">
        <f>VLOOKUP(D28,'[1]ANALISIS (NEW)'!C:BF,49,FALSE)</f>
        <v xml:space="preserve">US </v>
      </c>
      <c r="I28" s="17">
        <f>VLOOKUP(D28,'[1]ANALISIS (NEW)'!C:BF,50,FALSE)</f>
        <v>9</v>
      </c>
      <c r="J28" s="16">
        <f>VLOOKUP(D28,'[1]ANALISIS (NEW)'!C:BG,57,FALSE)</f>
        <v>3.6069999999999998E-2</v>
      </c>
      <c r="K28" s="15">
        <f>VLOOKUP(D28,'[1]ANALISIS (NEW)'!C:BF,56,FALSE)</f>
        <v>92551.272727272721</v>
      </c>
      <c r="L28" s="14">
        <v>0</v>
      </c>
      <c r="M28" s="14">
        <f>VLOOKUP(D28,'[1]Inv Sem 23 pzas '!A:F,2,FALSE)</f>
        <v>0</v>
      </c>
      <c r="N28" s="14">
        <f>VLOOKUP(D28,'[1]Inv Sem 23 pzas '!A:F,3,FALSE)</f>
        <v>0</v>
      </c>
      <c r="O28" s="14">
        <f>VLOOKUP(D28,'[1]Inv Sem 23 pzas '!A:F,4,FALSE)</f>
        <v>158216</v>
      </c>
      <c r="P28" s="14">
        <f>VLOOKUP(D28,'[1]Inv Sem 23 pzas '!A:F,5,FALSE)</f>
        <v>0</v>
      </c>
      <c r="Q28" s="14">
        <f>VLOOKUP(D28,'[1]Inv Sem 23 pzas '!A:F,6,FALSE)</f>
        <v>294000</v>
      </c>
      <c r="R28" s="13">
        <f t="shared" si="1"/>
        <v>452216</v>
      </c>
      <c r="S28" s="12">
        <f t="shared" si="2"/>
        <v>16311.431119999999</v>
      </c>
      <c r="T28" s="11">
        <f t="shared" si="3"/>
        <v>0</v>
      </c>
      <c r="U28" s="11">
        <f t="shared" si="4"/>
        <v>0</v>
      </c>
      <c r="V28" s="11">
        <f t="shared" si="5"/>
        <v>1.7094956702132678</v>
      </c>
      <c r="W28" s="11">
        <f t="shared" si="6"/>
        <v>0</v>
      </c>
      <c r="X28" s="11">
        <f t="shared" si="7"/>
        <v>3.1766175800342613</v>
      </c>
      <c r="Y28" s="11">
        <f t="shared" si="8"/>
        <v>0</v>
      </c>
      <c r="Z28" s="9">
        <f t="shared" si="9"/>
        <v>4.8861132502475293</v>
      </c>
      <c r="AA28" s="9">
        <f t="shared" si="10"/>
        <v>2.2857142857142856</v>
      </c>
      <c r="AB28" s="10">
        <f t="shared" si="11"/>
        <v>7630.4557880519469</v>
      </c>
      <c r="AC28" s="9">
        <f t="shared" si="12"/>
        <v>2.6003989645332437</v>
      </c>
      <c r="AD28" s="8">
        <f t="shared" si="13"/>
        <v>240670.23376623381</v>
      </c>
      <c r="AE28" s="7">
        <f t="shared" si="14"/>
        <v>8680.9753319480533</v>
      </c>
    </row>
    <row r="29" spans="1:31" x14ac:dyDescent="0.25">
      <c r="A29" s="22">
        <f t="shared" ca="1" si="0"/>
        <v>46182</v>
      </c>
      <c r="B29" s="21" t="s">
        <v>2</v>
      </c>
      <c r="C29" s="20" t="s">
        <v>1</v>
      </c>
      <c r="D29" s="4" t="s">
        <v>135</v>
      </c>
      <c r="E29" s="3" t="str">
        <f>VLOOKUP(D29,'[1]ANALISIS (NEW)'!C:E,3,FALSE)</f>
        <v>GASKET - A/C LINE SEALIN G</v>
      </c>
      <c r="F29" s="19" t="str">
        <f>VLOOKUP(D29,'[1]ANALISIS (NEW)'!C:AX,48,FALSE)</f>
        <v>PARKER HANNIFIN CORPORAT</v>
      </c>
      <c r="G29" s="15" t="str">
        <f>VLOOKUP(D:D,'[1]ANALISIS (NEW)'!C:BY,75,FALSE)</f>
        <v>EA</v>
      </c>
      <c r="H29" s="18" t="str">
        <f>VLOOKUP(D29,'[1]ANALISIS (NEW)'!C:BF,49,FALSE)</f>
        <v xml:space="preserve">US </v>
      </c>
      <c r="I29" s="17">
        <f>VLOOKUP(D29,'[1]ANALISIS (NEW)'!C:BF,50,FALSE)</f>
        <v>9</v>
      </c>
      <c r="J29" s="16">
        <f>VLOOKUP(D29,'[1]ANALISIS (NEW)'!C:BG,57,FALSE)</f>
        <v>0.27789999999999998</v>
      </c>
      <c r="K29" s="15">
        <f>VLOOKUP(D29,'[1]ANALISIS (NEW)'!C:BF,56,FALSE)</f>
        <v>59793.63636363636</v>
      </c>
      <c r="L29" s="14">
        <v>0</v>
      </c>
      <c r="M29" s="14">
        <f>VLOOKUP(D29,'[1]Inv Sem 23 pzas '!A:F,2,FALSE)</f>
        <v>0</v>
      </c>
      <c r="N29" s="14">
        <f>VLOOKUP(D29,'[1]Inv Sem 23 pzas '!A:F,3,FALSE)</f>
        <v>0</v>
      </c>
      <c r="O29" s="14">
        <f>VLOOKUP(D29,'[1]Inv Sem 23 pzas '!A:F,4,FALSE)</f>
        <v>122572</v>
      </c>
      <c r="P29" s="14">
        <f>VLOOKUP(D29,'[1]Inv Sem 23 pzas '!A:F,5,FALSE)</f>
        <v>0</v>
      </c>
      <c r="Q29" s="14">
        <f>VLOOKUP(D29,'[1]Inv Sem 23 pzas '!A:F,6,FALSE)</f>
        <v>44500</v>
      </c>
      <c r="R29" s="13">
        <f t="shared" si="1"/>
        <v>167072</v>
      </c>
      <c r="S29" s="12">
        <f t="shared" si="2"/>
        <v>46429.308799999999</v>
      </c>
      <c r="T29" s="11">
        <f t="shared" si="3"/>
        <v>0</v>
      </c>
      <c r="U29" s="11">
        <f t="shared" si="4"/>
        <v>0</v>
      </c>
      <c r="V29" s="11">
        <f t="shared" si="5"/>
        <v>2.0499171392516686</v>
      </c>
      <c r="W29" s="11">
        <f t="shared" si="6"/>
        <v>0</v>
      </c>
      <c r="X29" s="11">
        <f t="shared" si="7"/>
        <v>0.74422635427911155</v>
      </c>
      <c r="Y29" s="11">
        <f t="shared" si="8"/>
        <v>0</v>
      </c>
      <c r="Z29" s="9">
        <f t="shared" si="9"/>
        <v>2.7941434935307803</v>
      </c>
      <c r="AA29" s="9">
        <f t="shared" si="10"/>
        <v>2.2857142857142856</v>
      </c>
      <c r="AB29" s="10">
        <f t="shared" si="11"/>
        <v>37980.917818181813</v>
      </c>
      <c r="AC29" s="9">
        <f t="shared" si="12"/>
        <v>0.5084292078164947</v>
      </c>
      <c r="AD29" s="8">
        <f t="shared" si="13"/>
        <v>30400.831168831184</v>
      </c>
      <c r="AE29" s="7">
        <f t="shared" si="14"/>
        <v>8448.3909818181855</v>
      </c>
    </row>
    <row r="30" spans="1:31" x14ac:dyDescent="0.25">
      <c r="A30" s="22">
        <f t="shared" ca="1" si="0"/>
        <v>46182</v>
      </c>
      <c r="B30" s="21" t="s">
        <v>2</v>
      </c>
      <c r="C30" s="20" t="s">
        <v>1</v>
      </c>
      <c r="D30" s="4" t="s">
        <v>134</v>
      </c>
      <c r="E30" s="3" t="str">
        <f>VLOOKUP(D30,'[1]ANALISIS (NEW)'!C:E,3,FALSE)</f>
        <v>5/8in CONVOLUTED SLV HOS EPROTECTOR</v>
      </c>
      <c r="F30" s="19" t="str">
        <f>VLOOKUP(D30,'[1]ANALISIS (NEW)'!C:AX,48,FALSE)</f>
        <v>DELFINGEN US INC</v>
      </c>
      <c r="G30" s="15" t="str">
        <f>VLOOKUP(D:D,'[1]ANALISIS (NEW)'!C:BY,75,FALSE)</f>
        <v>MM</v>
      </c>
      <c r="H30" s="18" t="str">
        <f>VLOOKUP(D30,'[1]ANALISIS (NEW)'!C:BF,49,FALSE)</f>
        <v xml:space="preserve">US </v>
      </c>
      <c r="I30" s="17">
        <f>VLOOKUP(D30,'[1]ANALISIS (NEW)'!C:BF,50,FALSE)</f>
        <v>9</v>
      </c>
      <c r="J30" s="16">
        <f>VLOOKUP(D30,'[1]ANALISIS (NEW)'!C:BG,57,FALSE)*1000</f>
        <v>0.54</v>
      </c>
      <c r="K30" s="15">
        <f>VLOOKUP(D30,'[1]ANALISIS (NEW)'!C:BF,56,FALSE)</f>
        <v>7254.9805454545449</v>
      </c>
      <c r="L30" s="14">
        <v>0</v>
      </c>
      <c r="M30" s="14">
        <f>VLOOKUP(D30,'[1]Inv Sem 23 pzas '!A:F,2,FALSE)/1000</f>
        <v>0</v>
      </c>
      <c r="N30" s="14">
        <f>VLOOKUP(D30,'[1]Inv Sem 23 pzas '!A:F,3,FALSE)/1000</f>
        <v>0</v>
      </c>
      <c r="O30" s="14">
        <f>VLOOKUP(D30,'[1]Inv Sem 23 pzas '!A:F,4,FALSE)/1000</f>
        <v>-2163.2539999999999</v>
      </c>
      <c r="P30" s="14">
        <f>VLOOKUP(D30,'[1]Inv Sem 23 pzas '!A:F,5,FALSE)</f>
        <v>0</v>
      </c>
      <c r="Q30" s="14">
        <f>VLOOKUP(D30,'[1]Inv Sem 23 pzas '!A:F,6,FALSE)/1000</f>
        <v>34160</v>
      </c>
      <c r="R30" s="13">
        <f t="shared" si="1"/>
        <v>31996.745999999999</v>
      </c>
      <c r="S30" s="12">
        <f t="shared" si="2"/>
        <v>17278.242839999999</v>
      </c>
      <c r="T30" s="11">
        <f t="shared" si="3"/>
        <v>0</v>
      </c>
      <c r="U30" s="11">
        <f t="shared" si="4"/>
        <v>0</v>
      </c>
      <c r="V30" s="11">
        <f t="shared" si="5"/>
        <v>-0.29817502423977432</v>
      </c>
      <c r="W30" s="11">
        <f t="shared" si="6"/>
        <v>0</v>
      </c>
      <c r="X30" s="11">
        <f t="shared" si="7"/>
        <v>4.7084895384595109</v>
      </c>
      <c r="Y30" s="11">
        <f t="shared" si="8"/>
        <v>0</v>
      </c>
      <c r="Z30" s="9">
        <f t="shared" si="9"/>
        <v>4.4103145142197366</v>
      </c>
      <c r="AA30" s="9">
        <f t="shared" si="10"/>
        <v>2.2857142857142856</v>
      </c>
      <c r="AB30" s="10">
        <f t="shared" si="11"/>
        <v>8954.7188446753244</v>
      </c>
      <c r="AC30" s="9">
        <f t="shared" si="12"/>
        <v>2.124600228505451</v>
      </c>
      <c r="AD30" s="8">
        <f t="shared" si="13"/>
        <v>15413.933324675329</v>
      </c>
      <c r="AE30" s="7">
        <f t="shared" si="14"/>
        <v>8323.5239953246783</v>
      </c>
    </row>
    <row r="31" spans="1:31" x14ac:dyDescent="0.25">
      <c r="A31" s="22">
        <f t="shared" ca="1" si="0"/>
        <v>46182</v>
      </c>
      <c r="B31" s="21" t="s">
        <v>2</v>
      </c>
      <c r="C31" s="20" t="s">
        <v>1</v>
      </c>
      <c r="D31" s="4" t="s">
        <v>133</v>
      </c>
      <c r="E31" s="3" t="str">
        <f>VLOOKUP(D31,'[1]ANALISIS (NEW)'!C:E,3,FALSE)</f>
        <v>GOOD YEAR 4890 5/16INCH</v>
      </c>
      <c r="F31" s="19" t="str">
        <f>VLOOKUP(D31,'[1]ANALISIS (NEW)'!C:AX,48,FALSE)</f>
        <v>CONTITECH USA, INC.</v>
      </c>
      <c r="G31" s="15" t="str">
        <f>VLOOKUP(D:D,'[1]ANALISIS (NEW)'!C:BY,75,FALSE)</f>
        <v>MM</v>
      </c>
      <c r="H31" s="18" t="str">
        <f>VLOOKUP(D31,'[1]ANALISIS (NEW)'!C:BF,49,FALSE)</f>
        <v xml:space="preserve">US </v>
      </c>
      <c r="I31" s="17">
        <f>VLOOKUP(D31,'[1]ANALISIS (NEW)'!C:BF,50,FALSE)</f>
        <v>9</v>
      </c>
      <c r="J31" s="16">
        <f>VLOOKUP(D31,'[1]ANALISIS (NEW)'!C:BG,57,FALSE)*1000</f>
        <v>1.95</v>
      </c>
      <c r="K31" s="15">
        <f>VLOOKUP(D31,'[1]ANALISIS (NEW)'!C:BF,56,FALSE)</f>
        <v>11123.133445454547</v>
      </c>
      <c r="L31" s="14">
        <v>12623</v>
      </c>
      <c r="M31" s="14">
        <f>VLOOKUP(D31,'[1]Inv Sem 23 pzas '!A:F,2,FALSE)/1000</f>
        <v>0</v>
      </c>
      <c r="N31" s="14">
        <f>VLOOKUP(D31,'[1]Inv Sem 23 pzas '!A:F,3,FALSE)/1000</f>
        <v>0</v>
      </c>
      <c r="O31" s="14">
        <f>VLOOKUP(D31,'[1]Inv Sem 23 pzas '!A:F,4,FALSE)/1000</f>
        <v>8463.3541999999998</v>
      </c>
      <c r="P31" s="14">
        <f>VLOOKUP(D31,'[1]Inv Sem 23 pzas '!A:F,5,FALSE)</f>
        <v>0</v>
      </c>
      <c r="Q31" s="14">
        <f>VLOOKUP(D31,'[1]Inv Sem 23 pzas '!A:F,6,FALSE)/1000</f>
        <v>8588</v>
      </c>
      <c r="R31" s="13">
        <f t="shared" si="1"/>
        <v>29674.354200000002</v>
      </c>
      <c r="S31" s="12">
        <f t="shared" si="2"/>
        <v>57864.990689999999</v>
      </c>
      <c r="T31" s="11">
        <f t="shared" si="3"/>
        <v>0</v>
      </c>
      <c r="U31" s="11">
        <f t="shared" si="4"/>
        <v>0</v>
      </c>
      <c r="V31" s="11">
        <f t="shared" si="5"/>
        <v>0.7608785996771924</v>
      </c>
      <c r="W31" s="11">
        <f t="shared" si="6"/>
        <v>0</v>
      </c>
      <c r="X31" s="11">
        <f t="shared" si="7"/>
        <v>0.77208459667536167</v>
      </c>
      <c r="Y31" s="11">
        <f t="shared" si="8"/>
        <v>1.1348420894076725</v>
      </c>
      <c r="Z31" s="9">
        <f t="shared" si="9"/>
        <v>2.6678052857602266</v>
      </c>
      <c r="AA31" s="9">
        <f t="shared" si="10"/>
        <v>2.2857142857142856</v>
      </c>
      <c r="AB31" s="10">
        <f t="shared" si="11"/>
        <v>49577.39478545454</v>
      </c>
      <c r="AC31" s="9">
        <f t="shared" si="12"/>
        <v>0.38209100004594099</v>
      </c>
      <c r="AD31" s="8">
        <f t="shared" si="13"/>
        <v>4250.0491818181808</v>
      </c>
      <c r="AE31" s="7">
        <f t="shared" si="14"/>
        <v>8287.5959045454529</v>
      </c>
    </row>
    <row r="32" spans="1:31" x14ac:dyDescent="0.25">
      <c r="A32" s="22">
        <f t="shared" ca="1" si="0"/>
        <v>46182</v>
      </c>
      <c r="B32" s="21" t="s">
        <v>2</v>
      </c>
      <c r="C32" s="20" t="s">
        <v>1</v>
      </c>
      <c r="D32" s="4" t="s">
        <v>132</v>
      </c>
      <c r="E32" s="3" t="str">
        <f>VLOOKUP(D32,'[1]ANALISIS (NEW)'!C:E,3,FALSE)</f>
        <v>BRKT/CLIP-A/C LINE</v>
      </c>
      <c r="F32" s="19" t="str">
        <f>VLOOKUP(D32,'[1]ANALISIS (NEW)'!C:AX,48,FALSE)</f>
        <v>PRECISE TOOL &amp; DIE LIMIT</v>
      </c>
      <c r="G32" s="15" t="str">
        <f>VLOOKUP(D:D,'[1]ANALISIS (NEW)'!C:BY,75,FALSE)</f>
        <v>EA</v>
      </c>
      <c r="H32" s="18" t="str">
        <f>VLOOKUP(D32,'[1]ANALISIS (NEW)'!C:BF,49,FALSE)</f>
        <v xml:space="preserve">CA </v>
      </c>
      <c r="I32" s="17">
        <f>VLOOKUP(D32,'[1]ANALISIS (NEW)'!C:BF,50,FALSE)</f>
        <v>11</v>
      </c>
      <c r="J32" s="16">
        <f>VLOOKUP(D32,'[1]ANALISIS (NEW)'!C:BG,57,FALSE)</f>
        <v>0.69610000000000005</v>
      </c>
      <c r="K32" s="15">
        <f>VLOOKUP(D32,'[1]ANALISIS (NEW)'!C:BF,56,FALSE)</f>
        <v>1785.8181818181818</v>
      </c>
      <c r="L32" s="14">
        <v>12000</v>
      </c>
      <c r="M32" s="14">
        <f>VLOOKUP(D32,'[1]Inv Sem 23 pzas '!A:F,2,FALSE)</f>
        <v>0</v>
      </c>
      <c r="N32" s="14">
        <f>VLOOKUP(D32,'[1]Inv Sem 23 pzas '!A:F,3,FALSE)</f>
        <v>0</v>
      </c>
      <c r="O32" s="14">
        <f>VLOOKUP(D32,'[1]Inv Sem 23 pzas '!A:F,4,FALSE)</f>
        <v>413</v>
      </c>
      <c r="P32" s="14">
        <f>VLOOKUP(D32,'[1]Inv Sem 23 pzas '!A:F,5,FALSE)</f>
        <v>0</v>
      </c>
      <c r="Q32" s="14">
        <f>VLOOKUP(D32,'[1]Inv Sem 23 pzas '!A:F,6,FALSE)</f>
        <v>3875</v>
      </c>
      <c r="R32" s="13">
        <f t="shared" si="1"/>
        <v>16288</v>
      </c>
      <c r="S32" s="12">
        <f t="shared" si="2"/>
        <v>11338.076800000001</v>
      </c>
      <c r="T32" s="11">
        <f t="shared" si="3"/>
        <v>0</v>
      </c>
      <c r="U32" s="11">
        <f t="shared" si="4"/>
        <v>0</v>
      </c>
      <c r="V32" s="11">
        <f t="shared" si="5"/>
        <v>0.23126654449195683</v>
      </c>
      <c r="W32" s="11">
        <f t="shared" si="6"/>
        <v>0</v>
      </c>
      <c r="X32" s="11">
        <f t="shared" si="7"/>
        <v>2.1698737527998371</v>
      </c>
      <c r="Y32" s="11">
        <f t="shared" si="8"/>
        <v>6.7196090409285283</v>
      </c>
      <c r="Z32" s="9">
        <f t="shared" si="9"/>
        <v>9.1207493382203211</v>
      </c>
      <c r="AA32" s="9">
        <f t="shared" si="10"/>
        <v>2.5714285714285716</v>
      </c>
      <c r="AB32" s="10">
        <f t="shared" si="11"/>
        <v>3196.5635220779227</v>
      </c>
      <c r="AC32" s="9">
        <f t="shared" si="12"/>
        <v>6.5493207667917499</v>
      </c>
      <c r="AD32" s="8">
        <f t="shared" si="13"/>
        <v>11695.896103896102</v>
      </c>
      <c r="AE32" s="7">
        <f t="shared" si="14"/>
        <v>8141.5132779220776</v>
      </c>
    </row>
    <row r="33" spans="1:31" x14ac:dyDescent="0.25">
      <c r="A33" s="22">
        <f t="shared" ca="1" si="0"/>
        <v>46182</v>
      </c>
      <c r="B33" s="21" t="s">
        <v>2</v>
      </c>
      <c r="C33" s="20" t="s">
        <v>1</v>
      </c>
      <c r="D33" s="4" t="s">
        <v>131</v>
      </c>
      <c r="E33" s="3" t="str">
        <f>VLOOKUP(D33,'[1]ANALISIS (NEW)'!C:E,3,FALSE)</f>
        <v>BRKT/CLIP-A/C LINE</v>
      </c>
      <c r="F33" s="19" t="str">
        <f>VLOOKUP(D33,'[1]ANALISIS (NEW)'!C:AX,48,FALSE)</f>
        <v>PRECISE TOOL &amp; DIE LIMIT</v>
      </c>
      <c r="G33" s="15" t="str">
        <f>VLOOKUP(D:D,'[1]ANALISIS (NEW)'!C:BY,75,FALSE)</f>
        <v>EA</v>
      </c>
      <c r="H33" s="18" t="str">
        <f>VLOOKUP(D33,'[1]ANALISIS (NEW)'!C:BF,49,FALSE)</f>
        <v xml:space="preserve">CA </v>
      </c>
      <c r="I33" s="17">
        <f>VLOOKUP(D33,'[1]ANALISIS (NEW)'!C:BF,50,FALSE)</f>
        <v>11</v>
      </c>
      <c r="J33" s="16">
        <f>VLOOKUP(D33,'[1]ANALISIS (NEW)'!C:BG,57,FALSE)</f>
        <v>0.6633</v>
      </c>
      <c r="K33" s="15">
        <f>VLOOKUP(D33,'[1]ANALISIS (NEW)'!C:BF,56,FALSE)</f>
        <v>2000.1818181818182</v>
      </c>
      <c r="L33" s="14">
        <v>0</v>
      </c>
      <c r="M33" s="14">
        <f>VLOOKUP(D33,'[1]Inv Sem 23 pzas '!A:F,2,FALSE)</f>
        <v>0</v>
      </c>
      <c r="N33" s="14">
        <f>VLOOKUP(D33,'[1]Inv Sem 23 pzas '!A:F,3,FALSE)</f>
        <v>14400</v>
      </c>
      <c r="O33" s="14">
        <f>VLOOKUP(D33,'[1]Inv Sem 23 pzas '!A:F,4,FALSE)</f>
        <v>212</v>
      </c>
      <c r="P33" s="14">
        <f>VLOOKUP(D33,'[1]Inv Sem 23 pzas '!A:F,5,FALSE)</f>
        <v>0</v>
      </c>
      <c r="Q33" s="14">
        <f>VLOOKUP(D33,'[1]Inv Sem 23 pzas '!A:F,6,FALSE)</f>
        <v>2800</v>
      </c>
      <c r="R33" s="13">
        <f t="shared" si="1"/>
        <v>17412</v>
      </c>
      <c r="S33" s="12">
        <f t="shared" si="2"/>
        <v>11549.3796</v>
      </c>
      <c r="T33" s="11">
        <f t="shared" si="3"/>
        <v>0</v>
      </c>
      <c r="U33" s="11">
        <f t="shared" si="4"/>
        <v>7.199345514044178</v>
      </c>
      <c r="V33" s="11">
        <f t="shared" si="5"/>
        <v>0.10599036451231705</v>
      </c>
      <c r="W33" s="11">
        <f t="shared" si="6"/>
        <v>0</v>
      </c>
      <c r="X33" s="11">
        <f t="shared" si="7"/>
        <v>1.3998727388419234</v>
      </c>
      <c r="Y33" s="11">
        <f t="shared" si="8"/>
        <v>0</v>
      </c>
      <c r="Z33" s="9">
        <f t="shared" si="9"/>
        <v>8.7052086173984193</v>
      </c>
      <c r="AA33" s="9">
        <f t="shared" si="10"/>
        <v>2.5714285714285716</v>
      </c>
      <c r="AB33" s="10">
        <f t="shared" si="11"/>
        <v>3411.5672571428577</v>
      </c>
      <c r="AC33" s="9">
        <f t="shared" si="12"/>
        <v>6.1337800459698482</v>
      </c>
      <c r="AD33" s="8">
        <f t="shared" si="13"/>
        <v>12268.675324675327</v>
      </c>
      <c r="AE33" s="7">
        <f t="shared" si="14"/>
        <v>8137.8123428571444</v>
      </c>
    </row>
    <row r="34" spans="1:31" x14ac:dyDescent="0.25">
      <c r="A34" s="22">
        <f t="shared" ref="A34:A65" ca="1" si="15">TODAY()</f>
        <v>46182</v>
      </c>
      <c r="B34" s="21" t="s">
        <v>2</v>
      </c>
      <c r="C34" s="20" t="s">
        <v>1</v>
      </c>
      <c r="D34" s="4" t="s">
        <v>130</v>
      </c>
      <c r="E34" s="3" t="str">
        <f>VLOOKUP(D34,'[1]ANALISIS (NEW)'!C:E,3,FALSE)</f>
        <v>LABEL-A/C Label - A/C</v>
      </c>
      <c r="F34" s="19" t="str">
        <f>VLOOKUP(D34,'[1]ANALISIS (NEW)'!C:AX,48,FALSE)</f>
        <v>GENERAL LABELS AND PRINT</v>
      </c>
      <c r="G34" s="15" t="str">
        <f>VLOOKUP(D:D,'[1]ANALISIS (NEW)'!C:BY,75,FALSE)</f>
        <v>EA</v>
      </c>
      <c r="H34" s="18" t="str">
        <f>VLOOKUP(D34,'[1]ANALISIS (NEW)'!C:BF,49,FALSE)</f>
        <v xml:space="preserve">US </v>
      </c>
      <c r="I34" s="17">
        <f>VLOOKUP(D34,'[1]ANALISIS (NEW)'!C:BF,50,FALSE)</f>
        <v>9</v>
      </c>
      <c r="J34" s="16">
        <f>VLOOKUP(D34,'[1]ANALISIS (NEW)'!C:BG,57,FALSE)</f>
        <v>5.7579999999999999E-2</v>
      </c>
      <c r="K34" s="15">
        <f>VLOOKUP(D34,'[1]ANALISIS (NEW)'!C:BF,56,FALSE)</f>
        <v>744.81818181818187</v>
      </c>
      <c r="L34" s="14">
        <v>0</v>
      </c>
      <c r="M34" s="14">
        <f>VLOOKUP(D34,'[1]Inv Sem 23 pzas '!A:F,2,FALSE)</f>
        <v>0</v>
      </c>
      <c r="N34" s="14">
        <f>VLOOKUP(D34,'[1]Inv Sem 23 pzas '!A:F,3,FALSE)</f>
        <v>0</v>
      </c>
      <c r="O34" s="14">
        <f>VLOOKUP(D34,'[1]Inv Sem 23 pzas '!A:F,4,FALSE)</f>
        <v>12404</v>
      </c>
      <c r="P34" s="14">
        <f>VLOOKUP(D34,'[1]Inv Sem 23 pzas '!A:F,5,FALSE)</f>
        <v>0</v>
      </c>
      <c r="Q34" s="14">
        <f>VLOOKUP(D34,'[1]Inv Sem 23 pzas '!A:F,6,FALSE)</f>
        <v>130000</v>
      </c>
      <c r="R34" s="13">
        <f t="shared" ref="R34:R65" si="16">SUM(L34:Q34)</f>
        <v>142404</v>
      </c>
      <c r="S34" s="12">
        <f t="shared" ref="S34:S65" si="17">J34*R34</f>
        <v>8199.6223200000004</v>
      </c>
      <c r="T34" s="11">
        <f t="shared" ref="T34:T65" si="18">IFERROR(M34/K34,0)</f>
        <v>0</v>
      </c>
      <c r="U34" s="11">
        <f t="shared" ref="U34:U65" si="19">IFERROR(N34/K34,0)</f>
        <v>0</v>
      </c>
      <c r="V34" s="11">
        <f t="shared" ref="V34:V65" si="20">IFERROR(O34/K34,0)</f>
        <v>16.653728792871963</v>
      </c>
      <c r="W34" s="11">
        <f t="shared" ref="W34:W65" si="21">IFERROR(P34/K34,0)</f>
        <v>0</v>
      </c>
      <c r="X34" s="11">
        <f t="shared" ref="X34:X65" si="22">IFERROR(Q34/K34,0)</f>
        <v>174.53924081533015</v>
      </c>
      <c r="Y34" s="11">
        <f t="shared" ref="Y34:Y65" si="23">L34/K34</f>
        <v>0</v>
      </c>
      <c r="Z34" s="9">
        <f t="shared" ref="Z34:Z65" si="24">SUM(T34:Y34)</f>
        <v>191.19296960820211</v>
      </c>
      <c r="AA34" s="9">
        <f t="shared" ref="AA34:AA65" si="25">(I34+7)/7</f>
        <v>2.2857142857142856</v>
      </c>
      <c r="AB34" s="10">
        <f t="shared" ref="AB34:AB65" si="26">AA34*K34*J34</f>
        <v>98.026584935064932</v>
      </c>
      <c r="AC34" s="9">
        <f t="shared" ref="AC34:AC65" si="27">Z34-AA34</f>
        <v>188.90725532248783</v>
      </c>
      <c r="AD34" s="8">
        <f t="shared" ref="AD34:AD65" si="28">AC34*K34</f>
        <v>140701.55844155845</v>
      </c>
      <c r="AE34" s="7">
        <f t="shared" ref="AE34:AE65" si="29">AD34*J34</f>
        <v>8101.5957350649351</v>
      </c>
    </row>
    <row r="35" spans="1:31" x14ac:dyDescent="0.25">
      <c r="A35" s="22">
        <f t="shared" ca="1" si="15"/>
        <v>46182</v>
      </c>
      <c r="B35" s="21" t="s">
        <v>2</v>
      </c>
      <c r="C35" s="20" t="s">
        <v>1</v>
      </c>
      <c r="D35" s="4" t="s">
        <v>129</v>
      </c>
      <c r="E35" s="3" t="str">
        <f>VLOOKUP(D35,'[1]ANALISIS (NEW)'!C:E,3,FALSE)</f>
        <v>GROMMET - A/C TUBE BRACK ET</v>
      </c>
      <c r="F35" s="19" t="str">
        <f>VLOOKUP(D35,'[1]ANALISIS (NEW)'!C:AX,48,FALSE)</f>
        <v>DAEJUNG S.R. (SPECIAL RU</v>
      </c>
      <c r="G35" s="15" t="str">
        <f>VLOOKUP(D:D,'[1]ANALISIS (NEW)'!C:BY,75,FALSE)</f>
        <v>EA</v>
      </c>
      <c r="H35" s="18" t="str">
        <f>VLOOKUP(D35,'[1]ANALISIS (NEW)'!C:BF,49,FALSE)</f>
        <v xml:space="preserve">US </v>
      </c>
      <c r="I35" s="17">
        <f>VLOOKUP(D35,'[1]ANALISIS (NEW)'!C:BF,50,FALSE)</f>
        <v>9</v>
      </c>
      <c r="J35" s="16">
        <f>VLOOKUP(D35,'[1]ANALISIS (NEW)'!C:BG,57,FALSE)</f>
        <v>0.2334</v>
      </c>
      <c r="K35" s="15">
        <f>VLOOKUP(D35,'[1]ANALISIS (NEW)'!C:BF,56,FALSE)</f>
        <v>11332</v>
      </c>
      <c r="L35" s="14">
        <v>44400</v>
      </c>
      <c r="M35" s="14">
        <f>VLOOKUP(D35,'[1]Inv Sem 23 pzas '!A:F,2,FALSE)</f>
        <v>0</v>
      </c>
      <c r="N35" s="14">
        <f>VLOOKUP(D35,'[1]Inv Sem 23 pzas '!A:F,3,FALSE)</f>
        <v>0</v>
      </c>
      <c r="O35" s="14">
        <f>VLOOKUP(D35,'[1]Inv Sem 23 pzas '!A:F,4,FALSE)</f>
        <v>407</v>
      </c>
      <c r="P35" s="14">
        <f>VLOOKUP(D35,'[1]Inv Sem 23 pzas '!A:F,5,FALSE)</f>
        <v>0</v>
      </c>
      <c r="Q35" s="14">
        <f>VLOOKUP(D35,'[1]Inv Sem 23 pzas '!A:F,6,FALSE)</f>
        <v>15600</v>
      </c>
      <c r="R35" s="13">
        <f t="shared" si="16"/>
        <v>60407</v>
      </c>
      <c r="S35" s="12">
        <f t="shared" si="17"/>
        <v>14098.9938</v>
      </c>
      <c r="T35" s="11">
        <f t="shared" si="18"/>
        <v>0</v>
      </c>
      <c r="U35" s="11">
        <f t="shared" si="19"/>
        <v>0</v>
      </c>
      <c r="V35" s="11">
        <f t="shared" si="20"/>
        <v>3.5915990116484289E-2</v>
      </c>
      <c r="W35" s="11">
        <f t="shared" si="21"/>
        <v>0</v>
      </c>
      <c r="X35" s="11">
        <f t="shared" si="22"/>
        <v>1.3766325450052947</v>
      </c>
      <c r="Y35" s="11">
        <f t="shared" si="23"/>
        <v>3.9181080127073775</v>
      </c>
      <c r="Z35" s="9">
        <f t="shared" si="24"/>
        <v>5.3306565478291565</v>
      </c>
      <c r="AA35" s="9">
        <f t="shared" si="25"/>
        <v>2.2857142857142856</v>
      </c>
      <c r="AB35" s="10">
        <f t="shared" si="26"/>
        <v>6045.4601142857136</v>
      </c>
      <c r="AC35" s="9">
        <f t="shared" si="27"/>
        <v>3.044942262114871</v>
      </c>
      <c r="AD35" s="8">
        <f t="shared" si="28"/>
        <v>34505.285714285717</v>
      </c>
      <c r="AE35" s="7">
        <f t="shared" si="29"/>
        <v>8053.5336857142865</v>
      </c>
    </row>
    <row r="36" spans="1:31" x14ac:dyDescent="0.25">
      <c r="A36" s="22">
        <f t="shared" ca="1" si="15"/>
        <v>46182</v>
      </c>
      <c r="B36" s="21" t="s">
        <v>2</v>
      </c>
      <c r="C36" s="20" t="s">
        <v>1</v>
      </c>
      <c r="D36" s="4" t="s">
        <v>128</v>
      </c>
      <c r="E36" s="3" t="str">
        <f>VLOOKUP(D36,'[1]ANALISIS (NEW)'!C:E,3,FALSE)</f>
        <v>Label - A/C 3M 7874 Thermal Polyeste</v>
      </c>
      <c r="F36" s="19" t="str">
        <f>VLOOKUP(D36,'[1]ANALISIS (NEW)'!C:AX,48,FALSE)</f>
        <v>GENERAL LABELS AND PRINT</v>
      </c>
      <c r="G36" s="15" t="str">
        <f>VLOOKUP(D:D,'[1]ANALISIS (NEW)'!C:BY,75,FALSE)</f>
        <v>EA</v>
      </c>
      <c r="H36" s="18" t="str">
        <f>VLOOKUP(D36,'[1]ANALISIS (NEW)'!C:BF,49,FALSE)</f>
        <v xml:space="preserve">US </v>
      </c>
      <c r="I36" s="17">
        <f>VLOOKUP(D36,'[1]ANALISIS (NEW)'!C:BF,50,FALSE)</f>
        <v>9</v>
      </c>
      <c r="J36" s="16">
        <f>VLOOKUP(D36,'[1]ANALISIS (NEW)'!C:BG,57,FALSE)</f>
        <v>0.14537</v>
      </c>
      <c r="K36" s="15">
        <f>VLOOKUP(D36,'[1]ANALISIS (NEW)'!C:BF,56,FALSE)</f>
        <v>31</v>
      </c>
      <c r="L36" s="14">
        <v>0</v>
      </c>
      <c r="M36" s="14">
        <f>VLOOKUP(D36,'[1]Inv Sem 23 pzas '!A:F,2,FALSE)</f>
        <v>0</v>
      </c>
      <c r="N36" s="14">
        <f>VLOOKUP(D36,'[1]Inv Sem 23 pzas '!A:F,3,FALSE)</f>
        <v>0</v>
      </c>
      <c r="O36" s="14">
        <f>VLOOKUP(D36,'[1]Inv Sem 23 pzas '!A:F,4,FALSE)</f>
        <v>28392</v>
      </c>
      <c r="P36" s="14">
        <f>VLOOKUP(D36,'[1]Inv Sem 23 pzas '!A:F,5,FALSE)</f>
        <v>0</v>
      </c>
      <c r="Q36" s="14">
        <f>VLOOKUP(D36,'[1]Inv Sem 23 pzas '!A:F,6,FALSE)</f>
        <v>25000</v>
      </c>
      <c r="R36" s="13">
        <f t="shared" si="16"/>
        <v>53392</v>
      </c>
      <c r="S36" s="12">
        <f t="shared" si="17"/>
        <v>7761.5950400000002</v>
      </c>
      <c r="T36" s="11">
        <f t="shared" si="18"/>
        <v>0</v>
      </c>
      <c r="U36" s="11">
        <f t="shared" si="19"/>
        <v>0</v>
      </c>
      <c r="V36" s="11">
        <f t="shared" si="20"/>
        <v>915.87096774193549</v>
      </c>
      <c r="W36" s="11">
        <f t="shared" si="21"/>
        <v>0</v>
      </c>
      <c r="X36" s="11">
        <f t="shared" si="22"/>
        <v>806.45161290322585</v>
      </c>
      <c r="Y36" s="11">
        <f t="shared" si="23"/>
        <v>0</v>
      </c>
      <c r="Z36" s="9">
        <f t="shared" si="24"/>
        <v>1722.3225806451615</v>
      </c>
      <c r="AA36" s="9">
        <f t="shared" si="25"/>
        <v>2.2857142857142856</v>
      </c>
      <c r="AB36" s="10">
        <f t="shared" si="26"/>
        <v>10.300502857142856</v>
      </c>
      <c r="AC36" s="9">
        <f t="shared" si="27"/>
        <v>1720.0368663594472</v>
      </c>
      <c r="AD36" s="8">
        <f t="shared" si="28"/>
        <v>53321.142857142862</v>
      </c>
      <c r="AE36" s="7">
        <f t="shared" si="29"/>
        <v>7751.2945371428577</v>
      </c>
    </row>
    <row r="37" spans="1:31" x14ac:dyDescent="0.25">
      <c r="A37" s="22">
        <f t="shared" ca="1" si="15"/>
        <v>46182</v>
      </c>
      <c r="B37" s="21" t="s">
        <v>2</v>
      </c>
      <c r="C37" s="20" t="s">
        <v>1</v>
      </c>
      <c r="D37" s="4" t="s">
        <v>127</v>
      </c>
      <c r="E37" s="3" t="str">
        <f>VLOOKUP(D37,'[1]ANALISIS (NEW)'!C:E,3,FALSE)</f>
        <v>Hose - A/C (Bulk)</v>
      </c>
      <c r="F37" s="19" t="str">
        <f>VLOOKUP(D37,'[1]ANALISIS (NEW)'!C:AX,48,FALSE)</f>
        <v>CONTITECH USA, INC.</v>
      </c>
      <c r="G37" s="15" t="str">
        <f>VLOOKUP(D:D,'[1]ANALISIS (NEW)'!C:BY,75,FALSE)</f>
        <v>MM</v>
      </c>
      <c r="H37" s="18" t="str">
        <f>VLOOKUP(D37,'[1]ANALISIS (NEW)'!C:BF,49,FALSE)</f>
        <v xml:space="preserve">US </v>
      </c>
      <c r="I37" s="17">
        <f>VLOOKUP(D37,'[1]ANALISIS (NEW)'!C:BF,50,FALSE)</f>
        <v>9</v>
      </c>
      <c r="J37" s="16">
        <f>VLOOKUP(D37,'[1]ANALISIS (NEW)'!C:BG,57,FALSE)*1000</f>
        <v>3.78</v>
      </c>
      <c r="K37" s="15">
        <f>VLOOKUP(D37,'[1]ANALISIS (NEW)'!C:BF,56,FALSE)</f>
        <v>1151.3308181818184</v>
      </c>
      <c r="L37" s="14">
        <v>1154</v>
      </c>
      <c r="M37" s="14">
        <f>VLOOKUP(D37,'[1]Inv Sem 23 pzas '!A:F,2,FALSE)/1000</f>
        <v>0</v>
      </c>
      <c r="N37" s="14">
        <f>VLOOKUP(D37,'[1]Inv Sem 23 pzas '!A:F,3,FALSE)/1000</f>
        <v>0</v>
      </c>
      <c r="O37" s="14">
        <f>VLOOKUP(D37,'[1]Inv Sem 23 pzas '!A:F,4,FALSE)/1000</f>
        <v>715.79</v>
      </c>
      <c r="P37" s="14">
        <f>VLOOKUP(D37,'[1]Inv Sem 23 pzas '!A:F,5,FALSE)</f>
        <v>0</v>
      </c>
      <c r="Q37" s="14">
        <f>VLOOKUP(D37,'[1]Inv Sem 23 pzas '!A:F,6,FALSE)/1000</f>
        <v>2765</v>
      </c>
      <c r="R37" s="13">
        <f t="shared" si="16"/>
        <v>4634.79</v>
      </c>
      <c r="S37" s="12">
        <f t="shared" si="17"/>
        <v>17519.5062</v>
      </c>
      <c r="T37" s="11">
        <f t="shared" si="18"/>
        <v>0</v>
      </c>
      <c r="U37" s="11">
        <f t="shared" si="19"/>
        <v>0</v>
      </c>
      <c r="V37" s="11">
        <f t="shared" si="20"/>
        <v>0.62170662740564486</v>
      </c>
      <c r="W37" s="11">
        <f t="shared" si="21"/>
        <v>0</v>
      </c>
      <c r="X37" s="11">
        <f t="shared" si="22"/>
        <v>2.4015686511080179</v>
      </c>
      <c r="Y37" s="11">
        <f t="shared" si="23"/>
        <v>1.002318344802406</v>
      </c>
      <c r="Z37" s="9">
        <f t="shared" si="24"/>
        <v>4.0255936233160687</v>
      </c>
      <c r="AA37" s="9">
        <f t="shared" si="25"/>
        <v>2.2857142857142856</v>
      </c>
      <c r="AB37" s="10">
        <f t="shared" si="26"/>
        <v>9947.4982690909092</v>
      </c>
      <c r="AC37" s="9">
        <f t="shared" si="27"/>
        <v>1.7398793376017831</v>
      </c>
      <c r="AD37" s="8">
        <f t="shared" si="28"/>
        <v>2003.1767012987011</v>
      </c>
      <c r="AE37" s="7">
        <f t="shared" si="29"/>
        <v>7572.0079309090897</v>
      </c>
    </row>
    <row r="38" spans="1:31" x14ac:dyDescent="0.25">
      <c r="A38" s="22">
        <f t="shared" ca="1" si="15"/>
        <v>46182</v>
      </c>
      <c r="B38" s="21" t="s">
        <v>2</v>
      </c>
      <c r="C38" s="20" t="s">
        <v>1</v>
      </c>
      <c r="D38" s="4" t="s">
        <v>126</v>
      </c>
      <c r="E38" s="3" t="str">
        <f>VLOOKUP(D38,'[1]ANALISIS (NEW)'!C:E,3,FALSE)</f>
        <v>GSKT-A/C LINE SEAL'G</v>
      </c>
      <c r="F38" s="19" t="str">
        <f>VLOOKUP(D38,'[1]ANALISIS (NEW)'!C:AX,48,FALSE)</f>
        <v>PARKER HANNIFIN CORPORAT</v>
      </c>
      <c r="G38" s="15" t="str">
        <f>VLOOKUP(D:D,'[1]ANALISIS (NEW)'!C:BY,75,FALSE)</f>
        <v>EA</v>
      </c>
      <c r="H38" s="18" t="str">
        <f>VLOOKUP(D38,'[1]ANALISIS (NEW)'!C:BF,49,FALSE)</f>
        <v xml:space="preserve">US </v>
      </c>
      <c r="I38" s="17">
        <f>VLOOKUP(D38,'[1]ANALISIS (NEW)'!C:BF,50,FALSE)</f>
        <v>9</v>
      </c>
      <c r="J38" s="16">
        <f>VLOOKUP(D38,'[1]ANALISIS (NEW)'!C:BG,57,FALSE)</f>
        <v>0.19059999999999999</v>
      </c>
      <c r="K38" s="15">
        <f>VLOOKUP(D38,'[1]ANALISIS (NEW)'!C:BF,56,FALSE)</f>
        <v>20398.363636363636</v>
      </c>
      <c r="L38" s="14">
        <v>20000</v>
      </c>
      <c r="M38" s="14">
        <f>VLOOKUP(D38,'[1]Inv Sem 23 pzas '!A:F,2,FALSE)</f>
        <v>0</v>
      </c>
      <c r="N38" s="14">
        <f>VLOOKUP(D38,'[1]Inv Sem 23 pzas '!A:F,3,FALSE)</f>
        <v>10000</v>
      </c>
      <c r="O38" s="14">
        <f>VLOOKUP(D38,'[1]Inv Sem 23 pzas '!A:F,4,FALSE)</f>
        <v>27537</v>
      </c>
      <c r="P38" s="14">
        <f>VLOOKUP(D38,'[1]Inv Sem 23 pzas '!A:F,5,FALSE)</f>
        <v>0</v>
      </c>
      <c r="Q38" s="14">
        <f>VLOOKUP(D38,'[1]Inv Sem 23 pzas '!A:F,6,FALSE)</f>
        <v>28000</v>
      </c>
      <c r="R38" s="13">
        <f t="shared" si="16"/>
        <v>85537</v>
      </c>
      <c r="S38" s="12">
        <f t="shared" si="17"/>
        <v>16303.352199999999</v>
      </c>
      <c r="T38" s="11">
        <f t="shared" si="18"/>
        <v>0</v>
      </c>
      <c r="U38" s="11">
        <f t="shared" si="19"/>
        <v>0.49023540212673034</v>
      </c>
      <c r="V38" s="11">
        <f t="shared" si="20"/>
        <v>1.3499612268363772</v>
      </c>
      <c r="W38" s="11">
        <f t="shared" si="21"/>
        <v>0</v>
      </c>
      <c r="X38" s="11">
        <f t="shared" si="22"/>
        <v>1.3726591259548448</v>
      </c>
      <c r="Y38" s="11">
        <f t="shared" si="23"/>
        <v>0.98047080425346067</v>
      </c>
      <c r="Z38" s="9">
        <f t="shared" si="24"/>
        <v>4.1933265591714131</v>
      </c>
      <c r="AA38" s="9">
        <f t="shared" si="25"/>
        <v>2.2857142857142856</v>
      </c>
      <c r="AB38" s="10">
        <f t="shared" si="26"/>
        <v>8886.6928207792207</v>
      </c>
      <c r="AC38" s="9">
        <f t="shared" si="27"/>
        <v>1.9076122734571275</v>
      </c>
      <c r="AD38" s="8">
        <f t="shared" si="28"/>
        <v>38912.168831168834</v>
      </c>
      <c r="AE38" s="7">
        <f t="shared" si="29"/>
        <v>7416.6593792207796</v>
      </c>
    </row>
    <row r="39" spans="1:31" x14ac:dyDescent="0.25">
      <c r="A39" s="22">
        <f t="shared" ca="1" si="15"/>
        <v>46182</v>
      </c>
      <c r="B39" s="21" t="s">
        <v>2</v>
      </c>
      <c r="C39" s="20" t="s">
        <v>1</v>
      </c>
      <c r="D39" s="4" t="s">
        <v>125</v>
      </c>
      <c r="E39" s="3" t="str">
        <f>VLOOKUP(D39,'[1]ANALISIS (NEW)'!C:E,3,FALSE)</f>
        <v>Sleeve - Abrasion ID19to6mm PE WT1mm</v>
      </c>
      <c r="F39" s="19" t="str">
        <f>VLOOKUP(D39,'[1]ANALISIS (NEW)'!C:AX,48,FALSE)</f>
        <v>TE CONNECTIVITY</v>
      </c>
      <c r="G39" s="15" t="str">
        <f>VLOOKUP(D:D,'[1]ANALISIS (NEW)'!C:BY,75,FALSE)</f>
        <v>MM</v>
      </c>
      <c r="H39" s="18" t="str">
        <f>VLOOKUP(D39,'[1]ANALISIS (NEW)'!C:BF,49,FALSE)</f>
        <v xml:space="preserve">US </v>
      </c>
      <c r="I39" s="17">
        <f>VLOOKUP(D39,'[1]ANALISIS (NEW)'!C:BF,50,FALSE)</f>
        <v>9</v>
      </c>
      <c r="J39" s="16">
        <f>VLOOKUP(D39,'[1]ANALISIS (NEW)'!C:BG,57,FALSE)*1000</f>
        <v>3.07</v>
      </c>
      <c r="K39" s="15">
        <f>VLOOKUP(D39,'[1]ANALISIS (NEW)'!C:BF,56,FALSE)</f>
        <v>1341.4981818181816</v>
      </c>
      <c r="L39" s="14">
        <v>1500</v>
      </c>
      <c r="M39" s="14">
        <f>VLOOKUP(D39,'[1]Inv Sem 23 pzas '!A:F,2,FALSE)/1000</f>
        <v>0</v>
      </c>
      <c r="N39" s="14">
        <f>VLOOKUP(D39,'[1]Inv Sem 23 pzas '!A:F,3,FALSE)/1000</f>
        <v>0</v>
      </c>
      <c r="O39" s="14">
        <f>VLOOKUP(D39,'[1]Inv Sem 23 pzas '!A:F,4,FALSE)/1000</f>
        <v>479.81400000000002</v>
      </c>
      <c r="P39" s="14">
        <f>VLOOKUP(D39,'[1]Inv Sem 23 pzas '!A:F,5,FALSE)</f>
        <v>0</v>
      </c>
      <c r="Q39" s="14">
        <f>VLOOKUP(D39,'[1]Inv Sem 23 pzas '!A:F,6,FALSE)/1000</f>
        <v>3300</v>
      </c>
      <c r="R39" s="13">
        <f t="shared" si="16"/>
        <v>5279.8140000000003</v>
      </c>
      <c r="S39" s="12">
        <f t="shared" si="17"/>
        <v>16209.028980000001</v>
      </c>
      <c r="T39" s="11">
        <f t="shared" si="18"/>
        <v>0</v>
      </c>
      <c r="U39" s="11">
        <f t="shared" si="19"/>
        <v>0</v>
      </c>
      <c r="V39" s="11">
        <f t="shared" si="20"/>
        <v>0.35767025740556019</v>
      </c>
      <c r="W39" s="11">
        <f t="shared" si="21"/>
        <v>0</v>
      </c>
      <c r="X39" s="11">
        <f t="shared" si="22"/>
        <v>2.4599362449581474</v>
      </c>
      <c r="Y39" s="11">
        <f t="shared" si="23"/>
        <v>1.1181528386173398</v>
      </c>
      <c r="Z39" s="9">
        <f t="shared" si="24"/>
        <v>3.9357593409810474</v>
      </c>
      <c r="AA39" s="9">
        <f t="shared" si="25"/>
        <v>2.2857142857142856</v>
      </c>
      <c r="AB39" s="10">
        <f t="shared" si="26"/>
        <v>9413.4843844155803</v>
      </c>
      <c r="AC39" s="9">
        <f t="shared" si="27"/>
        <v>1.6500450552667618</v>
      </c>
      <c r="AD39" s="8">
        <f t="shared" si="28"/>
        <v>2213.5324415584419</v>
      </c>
      <c r="AE39" s="7">
        <f t="shared" si="29"/>
        <v>6795.5445955844161</v>
      </c>
    </row>
    <row r="40" spans="1:31" x14ac:dyDescent="0.25">
      <c r="A40" s="22">
        <f t="shared" ca="1" si="15"/>
        <v>46182</v>
      </c>
      <c r="B40" s="21" t="s">
        <v>2</v>
      </c>
      <c r="C40" s="20" t="s">
        <v>1</v>
      </c>
      <c r="D40" s="4" t="s">
        <v>124</v>
      </c>
      <c r="E40" s="3" t="str">
        <f>VLOOKUP(D40,'[1]ANALISIS (NEW)'!C:E,3,FALSE)</f>
        <v>HOSE-A/C FORMED-BARRIER GALAXY 13/32 489</v>
      </c>
      <c r="F40" s="19" t="str">
        <f>VLOOKUP(D40,'[1]ANALISIS (NEW)'!C:AX,48,FALSE)</f>
        <v>CONTITECH NORTH AMERICA,</v>
      </c>
      <c r="G40" s="15" t="str">
        <f>VLOOKUP(D:D,'[1]ANALISIS (NEW)'!C:BY,75,FALSE)</f>
        <v>EA</v>
      </c>
      <c r="H40" s="18" t="str">
        <f>VLOOKUP(D40,'[1]ANALISIS (NEW)'!C:BF,49,FALSE)</f>
        <v xml:space="preserve">US </v>
      </c>
      <c r="I40" s="17">
        <f>VLOOKUP(D40,'[1]ANALISIS (NEW)'!C:BF,50,FALSE)</f>
        <v>9</v>
      </c>
      <c r="J40" s="16">
        <f>VLOOKUP(D40,'[1]ANALISIS (NEW)'!C:BG,57,FALSE)</f>
        <v>2.88</v>
      </c>
      <c r="K40" s="15">
        <f>VLOOKUP(D40,'[1]ANALISIS (NEW)'!C:BF,56,FALSE)</f>
        <v>1375.909090909091</v>
      </c>
      <c r="L40" s="14">
        <v>0</v>
      </c>
      <c r="M40" s="14">
        <f>VLOOKUP(D40,'[1]Inv Sem 23 pzas '!A:F,2,FALSE)</f>
        <v>0</v>
      </c>
      <c r="N40" s="14">
        <f>VLOOKUP(D40,'[1]Inv Sem 23 pzas '!A:F,3,FALSE)</f>
        <v>1000</v>
      </c>
      <c r="O40" s="14">
        <f>VLOOKUP(D40,'[1]Inv Sem 23 pzas '!A:F,4,FALSE)</f>
        <v>1288</v>
      </c>
      <c r="P40" s="14">
        <f>VLOOKUP(D40,'[1]Inv Sem 23 pzas '!A:F,5,FALSE)</f>
        <v>0</v>
      </c>
      <c r="Q40" s="14">
        <f>VLOOKUP(D40,'[1]Inv Sem 23 pzas '!A:F,6,FALSE)</f>
        <v>3200</v>
      </c>
      <c r="R40" s="13">
        <f t="shared" si="16"/>
        <v>5488</v>
      </c>
      <c r="S40" s="12">
        <f t="shared" si="17"/>
        <v>15805.439999999999</v>
      </c>
      <c r="T40" s="11">
        <f t="shared" si="18"/>
        <v>0</v>
      </c>
      <c r="U40" s="11">
        <f t="shared" si="19"/>
        <v>0.72679220350181695</v>
      </c>
      <c r="V40" s="11">
        <f t="shared" si="20"/>
        <v>0.93610835811034021</v>
      </c>
      <c r="W40" s="11">
        <f t="shared" si="21"/>
        <v>0</v>
      </c>
      <c r="X40" s="11">
        <f t="shared" si="22"/>
        <v>2.3257350512058141</v>
      </c>
      <c r="Y40" s="11">
        <f t="shared" si="23"/>
        <v>0</v>
      </c>
      <c r="Z40" s="9">
        <f t="shared" si="24"/>
        <v>3.9886356128179714</v>
      </c>
      <c r="AA40" s="9">
        <f t="shared" si="25"/>
        <v>2.2857142857142856</v>
      </c>
      <c r="AB40" s="10">
        <f t="shared" si="26"/>
        <v>9057.4129870129873</v>
      </c>
      <c r="AC40" s="9">
        <f t="shared" si="27"/>
        <v>1.7029213271036858</v>
      </c>
      <c r="AD40" s="8">
        <f t="shared" si="28"/>
        <v>2343.0649350649351</v>
      </c>
      <c r="AE40" s="7">
        <f t="shared" si="29"/>
        <v>6748.0270129870123</v>
      </c>
    </row>
    <row r="41" spans="1:31" x14ac:dyDescent="0.25">
      <c r="A41" s="22">
        <f t="shared" ca="1" si="15"/>
        <v>46182</v>
      </c>
      <c r="B41" s="21" t="s">
        <v>2</v>
      </c>
      <c r="C41" s="20" t="s">
        <v>1</v>
      </c>
      <c r="D41" s="4" t="s">
        <v>123</v>
      </c>
      <c r="E41" s="3" t="str">
        <f>VLOOKUP(D41,'[1]ANALISIS (NEW)'!C:E,3,FALSE)</f>
        <v>Preformed hose 5/8?</v>
      </c>
      <c r="F41" s="19" t="str">
        <f>VLOOKUP(D41,'[1]ANALISIS (NEW)'!C:AX,48,FALSE)</f>
        <v>CONTITECH NORTH AMERICA,</v>
      </c>
      <c r="G41" s="15" t="str">
        <f>VLOOKUP(D:D,'[1]ANALISIS (NEW)'!C:BY,75,FALSE)</f>
        <v>EA</v>
      </c>
      <c r="H41" s="18" t="str">
        <f>VLOOKUP(D41,'[1]ANALISIS (NEW)'!C:BF,49,FALSE)</f>
        <v xml:space="preserve">US </v>
      </c>
      <c r="I41" s="17">
        <f>VLOOKUP(D41,'[1]ANALISIS (NEW)'!C:BF,50,FALSE)</f>
        <v>9</v>
      </c>
      <c r="J41" s="16">
        <f>VLOOKUP(D41,'[1]ANALISIS (NEW)'!C:BG,57,FALSE)</f>
        <v>3.9169999999999998</v>
      </c>
      <c r="K41" s="15">
        <f>VLOOKUP(D41,'[1]ANALISIS (NEW)'!C:BF,56,FALSE)</f>
        <v>1</v>
      </c>
      <c r="L41" s="14">
        <v>0</v>
      </c>
      <c r="M41" s="14">
        <f>VLOOKUP(D41,'[1]Inv Sem 23 pzas '!A:F,2,FALSE)</f>
        <v>0</v>
      </c>
      <c r="N41" s="14">
        <f>VLOOKUP(D41,'[1]Inv Sem 23 pzas '!A:F,3,FALSE)</f>
        <v>900</v>
      </c>
      <c r="O41" s="14">
        <f>VLOOKUP(D41,'[1]Inv Sem 23 pzas '!A:F,4,FALSE)</f>
        <v>120</v>
      </c>
      <c r="P41" s="14">
        <f>VLOOKUP(D41,'[1]Inv Sem 23 pzas '!A:F,5,FALSE)</f>
        <v>0</v>
      </c>
      <c r="Q41" s="14">
        <f>VLOOKUP(D41,'[1]Inv Sem 23 pzas '!A:F,6,FALSE)</f>
        <v>675</v>
      </c>
      <c r="R41" s="13">
        <f t="shared" si="16"/>
        <v>1695</v>
      </c>
      <c r="S41" s="12">
        <f t="shared" si="17"/>
        <v>6639.3149999999996</v>
      </c>
      <c r="T41" s="11">
        <f t="shared" si="18"/>
        <v>0</v>
      </c>
      <c r="U41" s="11">
        <f t="shared" si="19"/>
        <v>900</v>
      </c>
      <c r="V41" s="11">
        <f t="shared" si="20"/>
        <v>120</v>
      </c>
      <c r="W41" s="11">
        <f t="shared" si="21"/>
        <v>0</v>
      </c>
      <c r="X41" s="11">
        <f t="shared" si="22"/>
        <v>675</v>
      </c>
      <c r="Y41" s="11">
        <f t="shared" si="23"/>
        <v>0</v>
      </c>
      <c r="Z41" s="9">
        <f t="shared" si="24"/>
        <v>1695</v>
      </c>
      <c r="AA41" s="9">
        <f t="shared" si="25"/>
        <v>2.2857142857142856</v>
      </c>
      <c r="AB41" s="10">
        <f t="shared" si="26"/>
        <v>8.953142857142856</v>
      </c>
      <c r="AC41" s="9">
        <f t="shared" si="27"/>
        <v>1692.7142857142858</v>
      </c>
      <c r="AD41" s="8">
        <f t="shared" si="28"/>
        <v>1692.7142857142858</v>
      </c>
      <c r="AE41" s="7">
        <f t="shared" si="29"/>
        <v>6630.3618571428569</v>
      </c>
    </row>
    <row r="42" spans="1:31" x14ac:dyDescent="0.25">
      <c r="A42" s="22">
        <f t="shared" ca="1" si="15"/>
        <v>46182</v>
      </c>
      <c r="B42" s="21" t="s">
        <v>2</v>
      </c>
      <c r="C42" s="20" t="s">
        <v>1</v>
      </c>
      <c r="D42" s="4" t="s">
        <v>122</v>
      </c>
      <c r="E42" s="3" t="str">
        <f>VLOOKUP(D42,'[1]ANALISIS (NEW)'!C:E,3,FALSE)</f>
        <v>HOSE-A/C FORMED-BARRIER</v>
      </c>
      <c r="F42" s="19" t="str">
        <f>VLOOKUP(D42,'[1]ANALISIS (NEW)'!C:AX,48,FALSE)</f>
        <v>CONTITECH NORTH AMERICA,</v>
      </c>
      <c r="G42" s="15" t="str">
        <f>VLOOKUP(D:D,'[1]ANALISIS (NEW)'!C:BY,75,FALSE)</f>
        <v>EA</v>
      </c>
      <c r="H42" s="18" t="str">
        <f>VLOOKUP(D42,'[1]ANALISIS (NEW)'!C:BF,49,FALSE)</f>
        <v xml:space="preserve">US </v>
      </c>
      <c r="I42" s="17">
        <f>VLOOKUP(D42,'[1]ANALISIS (NEW)'!C:BF,50,FALSE)</f>
        <v>9</v>
      </c>
      <c r="J42" s="16">
        <f>VLOOKUP(D42,'[1]ANALISIS (NEW)'!C:BG,57,FALSE)</f>
        <v>3.4969999999999999</v>
      </c>
      <c r="K42" s="15">
        <f>VLOOKUP(D42,'[1]ANALISIS (NEW)'!C:BF,56,FALSE)+1</f>
        <v>1</v>
      </c>
      <c r="L42" s="14">
        <v>0</v>
      </c>
      <c r="M42" s="14">
        <f>VLOOKUP(D42,'[1]Inv Sem 23 pzas '!A:F,2,FALSE)</f>
        <v>0</v>
      </c>
      <c r="N42" s="14">
        <f>VLOOKUP(D42,'[1]Inv Sem 23 pzas '!A:F,3,FALSE)</f>
        <v>1000</v>
      </c>
      <c r="O42" s="14">
        <f>VLOOKUP(D42,'[1]Inv Sem 23 pzas '!A:F,4,FALSE)</f>
        <v>14</v>
      </c>
      <c r="P42" s="14">
        <f>VLOOKUP(D42,'[1]Inv Sem 23 pzas '!A:F,5,FALSE)</f>
        <v>0</v>
      </c>
      <c r="Q42" s="14">
        <f>VLOOKUP(D42,'[1]Inv Sem 23 pzas '!A:F,6,FALSE)</f>
        <v>850</v>
      </c>
      <c r="R42" s="13">
        <f t="shared" si="16"/>
        <v>1864</v>
      </c>
      <c r="S42" s="12">
        <f t="shared" si="17"/>
        <v>6518.4079999999994</v>
      </c>
      <c r="T42" s="11">
        <f t="shared" si="18"/>
        <v>0</v>
      </c>
      <c r="U42" s="11">
        <f t="shared" si="19"/>
        <v>1000</v>
      </c>
      <c r="V42" s="11">
        <f t="shared" si="20"/>
        <v>14</v>
      </c>
      <c r="W42" s="11">
        <f t="shared" si="21"/>
        <v>0</v>
      </c>
      <c r="X42" s="11">
        <f t="shared" si="22"/>
        <v>850</v>
      </c>
      <c r="Y42" s="11">
        <f t="shared" si="23"/>
        <v>0</v>
      </c>
      <c r="Z42" s="9">
        <f t="shared" si="24"/>
        <v>1864</v>
      </c>
      <c r="AA42" s="9">
        <f t="shared" si="25"/>
        <v>2.2857142857142856</v>
      </c>
      <c r="AB42" s="10">
        <f t="shared" si="26"/>
        <v>7.9931428571428569</v>
      </c>
      <c r="AC42" s="9">
        <f t="shared" si="27"/>
        <v>1861.7142857142858</v>
      </c>
      <c r="AD42" s="8">
        <f t="shared" si="28"/>
        <v>1861.7142857142858</v>
      </c>
      <c r="AE42" s="7">
        <f t="shared" si="29"/>
        <v>6510.4148571428568</v>
      </c>
    </row>
    <row r="43" spans="1:31" x14ac:dyDescent="0.25">
      <c r="A43" s="22">
        <f t="shared" ca="1" si="15"/>
        <v>46182</v>
      </c>
      <c r="B43" s="21" t="s">
        <v>2</v>
      </c>
      <c r="C43" s="20" t="s">
        <v>1</v>
      </c>
      <c r="D43" s="4" t="s">
        <v>121</v>
      </c>
      <c r="E43" s="3" t="str">
        <f>VLOOKUP(D43,'[1]ANALISIS (NEW)'!C:E,3,FALSE)</f>
        <v>shipping cap Male SSL dual 3/8" -3/4"</v>
      </c>
      <c r="F43" s="19" t="str">
        <f>VLOOKUP(D43,'[1]ANALISIS (NEW)'!C:AX,48,FALSE)</f>
        <v>SINCLAIR &amp; RUSH, INC.</v>
      </c>
      <c r="G43" s="15" t="str">
        <f>VLOOKUP(D:D,'[1]ANALISIS (NEW)'!C:BY,75,FALSE)</f>
        <v>EA</v>
      </c>
      <c r="H43" s="18" t="str">
        <f>VLOOKUP(D43,'[1]ANALISIS (NEW)'!C:BF,49,FALSE)</f>
        <v xml:space="preserve">US </v>
      </c>
      <c r="I43" s="17">
        <f>VLOOKUP(D43,'[1]ANALISIS (NEW)'!C:BF,50,FALSE)</f>
        <v>9</v>
      </c>
      <c r="J43" s="16">
        <f>VLOOKUP(D43,'[1]ANALISIS (NEW)'!C:BG,57,FALSE)</f>
        <v>7.8E-2</v>
      </c>
      <c r="K43" s="15">
        <f>VLOOKUP(D43,'[1]ANALISIS (NEW)'!C:BF,56,FALSE)</f>
        <v>39588.272727272728</v>
      </c>
      <c r="L43" s="14">
        <v>111135</v>
      </c>
      <c r="M43" s="14">
        <f>VLOOKUP(D43,'[1]Inv Sem 23 pzas '!A:F,2,FALSE)</f>
        <v>0</v>
      </c>
      <c r="N43" s="14">
        <f>VLOOKUP(D43,'[1]Inv Sem 23 pzas '!A:F,3,FALSE)</f>
        <v>0</v>
      </c>
      <c r="O43" s="14">
        <f>VLOOKUP(D43,'[1]Inv Sem 23 pzas '!A:F,4,FALSE)</f>
        <v>-8337</v>
      </c>
      <c r="P43" s="14">
        <f>VLOOKUP(D43,'[1]Inv Sem 23 pzas '!A:F,5,FALSE)</f>
        <v>0</v>
      </c>
      <c r="Q43" s="14">
        <f>VLOOKUP(D43,'[1]Inv Sem 23 pzas '!A:F,6,FALSE)</f>
        <v>70505</v>
      </c>
      <c r="R43" s="13">
        <f t="shared" si="16"/>
        <v>173303</v>
      </c>
      <c r="S43" s="12">
        <f t="shared" si="17"/>
        <v>13517.634</v>
      </c>
      <c r="T43" s="11">
        <f t="shared" si="18"/>
        <v>0</v>
      </c>
      <c r="U43" s="11">
        <f t="shared" si="19"/>
        <v>0</v>
      </c>
      <c r="V43" s="11">
        <f t="shared" si="20"/>
        <v>-0.21059266862776166</v>
      </c>
      <c r="W43" s="11">
        <f t="shared" si="21"/>
        <v>0</v>
      </c>
      <c r="X43" s="11">
        <f t="shared" si="22"/>
        <v>1.7809567112390952</v>
      </c>
      <c r="Y43" s="11">
        <f t="shared" si="23"/>
        <v>2.8072707482243362</v>
      </c>
      <c r="Z43" s="9">
        <f t="shared" si="24"/>
        <v>4.3776347908356694</v>
      </c>
      <c r="AA43" s="9">
        <f t="shared" si="25"/>
        <v>2.2857142857142856</v>
      </c>
      <c r="AB43" s="10">
        <f t="shared" si="26"/>
        <v>7058.0234805194805</v>
      </c>
      <c r="AC43" s="9">
        <f t="shared" si="27"/>
        <v>2.0919205051213838</v>
      </c>
      <c r="AD43" s="8">
        <f t="shared" si="28"/>
        <v>82815.519480519462</v>
      </c>
      <c r="AE43" s="7">
        <f t="shared" si="29"/>
        <v>6459.6105194805177</v>
      </c>
    </row>
    <row r="44" spans="1:31" x14ac:dyDescent="0.25">
      <c r="A44" s="22">
        <f t="shared" ca="1" si="15"/>
        <v>46182</v>
      </c>
      <c r="B44" s="21" t="s">
        <v>2</v>
      </c>
      <c r="C44" s="20" t="s">
        <v>1</v>
      </c>
      <c r="D44" s="4" t="s">
        <v>120</v>
      </c>
      <c r="E44" s="3" t="str">
        <f>VLOOKUP(D44,'[1]ANALISIS (NEW)'!C:E,3,FALSE)</f>
        <v>Bracket/Clip - A/C Line</v>
      </c>
      <c r="F44" s="19" t="str">
        <f>VLOOKUP(D44,'[1]ANALISIS (NEW)'!C:AX,48,FALSE)</f>
        <v>DEXTER STAMPING COMPANY</v>
      </c>
      <c r="G44" s="15" t="str">
        <f>VLOOKUP(D:D,'[1]ANALISIS (NEW)'!C:BY,75,FALSE)</f>
        <v>EA</v>
      </c>
      <c r="H44" s="18" t="str">
        <f>VLOOKUP(D44,'[1]ANALISIS (NEW)'!C:BF,49,FALSE)</f>
        <v xml:space="preserve">US </v>
      </c>
      <c r="I44" s="17">
        <f>VLOOKUP(D44,'[1]ANALISIS (NEW)'!C:BF,50,FALSE)</f>
        <v>9</v>
      </c>
      <c r="J44" s="16">
        <f>VLOOKUP(D44,'[1]ANALISIS (NEW)'!C:BG,57,FALSE)</f>
        <v>0.44339999999999996</v>
      </c>
      <c r="K44" s="15">
        <f>VLOOKUP(D44,'[1]ANALISIS (NEW)'!C:BF,56,FALSE)</f>
        <v>2556.090909090909</v>
      </c>
      <c r="L44" s="14">
        <v>5000</v>
      </c>
      <c r="M44" s="14">
        <f>VLOOKUP(D44,'[1]Inv Sem 23 pzas '!A:F,2,FALSE)</f>
        <v>0</v>
      </c>
      <c r="N44" s="14">
        <f>VLOOKUP(D44,'[1]Inv Sem 23 pzas '!A:F,3,FALSE)</f>
        <v>10500</v>
      </c>
      <c r="O44" s="14">
        <f>VLOOKUP(D44,'[1]Inv Sem 23 pzas '!A:F,4,FALSE)</f>
        <v>1107</v>
      </c>
      <c r="P44" s="14">
        <f>VLOOKUP(D44,'[1]Inv Sem 23 pzas '!A:F,5,FALSE)</f>
        <v>0</v>
      </c>
      <c r="Q44" s="14">
        <f>VLOOKUP(D44,'[1]Inv Sem 23 pzas '!A:F,6,FALSE)</f>
        <v>3363</v>
      </c>
      <c r="R44" s="13">
        <f t="shared" si="16"/>
        <v>19970</v>
      </c>
      <c r="S44" s="12">
        <f t="shared" si="17"/>
        <v>8854.6979999999985</v>
      </c>
      <c r="T44" s="11">
        <f t="shared" si="18"/>
        <v>0</v>
      </c>
      <c r="U44" s="11">
        <f t="shared" si="19"/>
        <v>4.1078351175445462</v>
      </c>
      <c r="V44" s="11">
        <f t="shared" si="20"/>
        <v>0.43308318810683927</v>
      </c>
      <c r="W44" s="11">
        <f t="shared" si="21"/>
        <v>0</v>
      </c>
      <c r="X44" s="11">
        <f t="shared" si="22"/>
        <v>1.3156809047906961</v>
      </c>
      <c r="Y44" s="11">
        <f t="shared" si="23"/>
        <v>1.9561119607354982</v>
      </c>
      <c r="Z44" s="9">
        <f t="shared" si="24"/>
        <v>7.8127111711775798</v>
      </c>
      <c r="AA44" s="9">
        <f t="shared" si="25"/>
        <v>2.2857142857142856</v>
      </c>
      <c r="AB44" s="10">
        <f t="shared" si="26"/>
        <v>2590.5616207792204</v>
      </c>
      <c r="AC44" s="9">
        <f t="shared" si="27"/>
        <v>5.5269968854632943</v>
      </c>
      <c r="AD44" s="8">
        <f t="shared" si="28"/>
        <v>14127.506493506495</v>
      </c>
      <c r="AE44" s="7">
        <f t="shared" si="29"/>
        <v>6264.1363792207794</v>
      </c>
    </row>
    <row r="45" spans="1:31" x14ac:dyDescent="0.25">
      <c r="A45" s="22">
        <f t="shared" ca="1" si="15"/>
        <v>46182</v>
      </c>
      <c r="B45" s="21" t="s">
        <v>2</v>
      </c>
      <c r="C45" s="20" t="s">
        <v>1</v>
      </c>
      <c r="D45" s="4" t="s">
        <v>119</v>
      </c>
      <c r="E45" s="3" t="str">
        <f>VLOOKUP(D45,'[1]ANALISIS (NEW)'!C:E,3,FALSE)</f>
        <v>HOSE-A/C FORMED-BARRIER GALAXY 5/16 4898</v>
      </c>
      <c r="F45" s="19" t="str">
        <f>VLOOKUP(D45,'[1]ANALISIS (NEW)'!C:AX,48,FALSE)</f>
        <v>CONTITECH NORTH AMERICA,</v>
      </c>
      <c r="G45" s="15" t="str">
        <f>VLOOKUP(D:D,'[1]ANALISIS (NEW)'!C:BY,75,FALSE)</f>
        <v>EA</v>
      </c>
      <c r="H45" s="18" t="str">
        <f>VLOOKUP(D45,'[1]ANALISIS (NEW)'!C:BF,49,FALSE)</f>
        <v xml:space="preserve">US </v>
      </c>
      <c r="I45" s="17">
        <f>VLOOKUP(D45,'[1]ANALISIS (NEW)'!C:BF,50,FALSE)</f>
        <v>9</v>
      </c>
      <c r="J45" s="16">
        <f>VLOOKUP(D45,'[1]ANALISIS (NEW)'!C:BG,57,FALSE)</f>
        <v>2.1259999999999999</v>
      </c>
      <c r="K45" s="15">
        <f>VLOOKUP(D45,'[1]ANALISIS (NEW)'!C:BF,56,FALSE)</f>
        <v>1362.4545454545455</v>
      </c>
      <c r="L45" s="14">
        <v>0</v>
      </c>
      <c r="M45" s="14">
        <f>VLOOKUP(D45,'[1]Inv Sem 23 pzas '!A:F,2,FALSE)</f>
        <v>0</v>
      </c>
      <c r="N45" s="14">
        <f>VLOOKUP(D45,'[1]Inv Sem 23 pzas '!A:F,3,FALSE)</f>
        <v>0</v>
      </c>
      <c r="O45" s="14">
        <f>VLOOKUP(D45,'[1]Inv Sem 23 pzas '!A:F,4,FALSE)</f>
        <v>790</v>
      </c>
      <c r="P45" s="14">
        <f>VLOOKUP(D45,'[1]Inv Sem 23 pzas '!A:F,5,FALSE)</f>
        <v>0</v>
      </c>
      <c r="Q45" s="14">
        <f>VLOOKUP(D45,'[1]Inv Sem 23 pzas '!A:F,6,FALSE)</f>
        <v>5200</v>
      </c>
      <c r="R45" s="13">
        <f t="shared" si="16"/>
        <v>5990</v>
      </c>
      <c r="S45" s="12">
        <f t="shared" si="17"/>
        <v>12734.74</v>
      </c>
      <c r="T45" s="11">
        <f t="shared" si="18"/>
        <v>0</v>
      </c>
      <c r="U45" s="11">
        <f t="shared" si="19"/>
        <v>0</v>
      </c>
      <c r="V45" s="11">
        <f t="shared" si="20"/>
        <v>0.57983585774337754</v>
      </c>
      <c r="W45" s="11">
        <f t="shared" si="21"/>
        <v>0</v>
      </c>
      <c r="X45" s="11">
        <f t="shared" si="22"/>
        <v>3.8166410889437512</v>
      </c>
      <c r="Y45" s="11">
        <f t="shared" si="23"/>
        <v>0</v>
      </c>
      <c r="Z45" s="9">
        <f t="shared" si="24"/>
        <v>4.3964769466871285</v>
      </c>
      <c r="AA45" s="9">
        <f t="shared" si="25"/>
        <v>2.2857142857142856</v>
      </c>
      <c r="AB45" s="10">
        <f t="shared" si="26"/>
        <v>6620.7505454545444</v>
      </c>
      <c r="AC45" s="9">
        <f t="shared" si="27"/>
        <v>2.1107626609728429</v>
      </c>
      <c r="AD45" s="8">
        <f t="shared" si="28"/>
        <v>2875.8181818181815</v>
      </c>
      <c r="AE45" s="7">
        <f t="shared" si="29"/>
        <v>6113.9894545454536</v>
      </c>
    </row>
    <row r="46" spans="1:31" x14ac:dyDescent="0.25">
      <c r="A46" s="22">
        <f t="shared" ca="1" si="15"/>
        <v>46182</v>
      </c>
      <c r="B46" s="21" t="s">
        <v>2</v>
      </c>
      <c r="C46" s="20" t="s">
        <v>1</v>
      </c>
      <c r="D46" s="4" t="s">
        <v>118</v>
      </c>
      <c r="E46" s="3" t="str">
        <f>VLOOKUP(D46,'[1]ANALISIS (NEW)'!C:E,3,FALSE)</f>
        <v>Label - A/C 3M 7874 Thermal Polyeste</v>
      </c>
      <c r="F46" s="19" t="str">
        <f>VLOOKUP(D46,'[1]ANALISIS (NEW)'!C:AX,48,FALSE)</f>
        <v>GENERAL LABELS AND PRINT</v>
      </c>
      <c r="G46" s="15" t="str">
        <f>VLOOKUP(D:D,'[1]ANALISIS (NEW)'!C:BY,75,FALSE)</f>
        <v>EA</v>
      </c>
      <c r="H46" s="18" t="str">
        <f>VLOOKUP(D46,'[1]ANALISIS (NEW)'!C:BF,49,FALSE)</f>
        <v xml:space="preserve">US </v>
      </c>
      <c r="I46" s="17">
        <f>VLOOKUP(D46,'[1]ANALISIS (NEW)'!C:BF,50,FALSE)</f>
        <v>9</v>
      </c>
      <c r="J46" s="16">
        <f>VLOOKUP(D46,'[1]ANALISIS (NEW)'!C:BG,57,FALSE)</f>
        <v>0.14537</v>
      </c>
      <c r="K46" s="15">
        <f>VLOOKUP(D46,'[1]ANALISIS (NEW)'!C:BF,56,FALSE)</f>
        <v>2185.6363636363635</v>
      </c>
      <c r="L46" s="14">
        <v>0</v>
      </c>
      <c r="M46" s="14">
        <f>VLOOKUP(D46,'[1]Inv Sem 23 pzas '!A:F,2,FALSE)</f>
        <v>0</v>
      </c>
      <c r="N46" s="14">
        <f>VLOOKUP(D46,'[1]Inv Sem 23 pzas '!A:F,3,FALSE)</f>
        <v>0</v>
      </c>
      <c r="O46" s="14">
        <f>VLOOKUP(D46,'[1]Inv Sem 23 pzas '!A:F,4,FALSE)</f>
        <v>-2221</v>
      </c>
      <c r="P46" s="14">
        <f>VLOOKUP(D46,'[1]Inv Sem 23 pzas '!A:F,5,FALSE)</f>
        <v>0</v>
      </c>
      <c r="Q46" s="14">
        <f>VLOOKUP(D46,'[1]Inv Sem 23 pzas '!A:F,6,FALSE)</f>
        <v>48000</v>
      </c>
      <c r="R46" s="13">
        <f t="shared" si="16"/>
        <v>45779</v>
      </c>
      <c r="S46" s="12">
        <f t="shared" si="17"/>
        <v>6654.8932299999997</v>
      </c>
      <c r="T46" s="11">
        <f t="shared" si="18"/>
        <v>0</v>
      </c>
      <c r="U46" s="11">
        <f t="shared" si="19"/>
        <v>0</v>
      </c>
      <c r="V46" s="11">
        <f t="shared" si="20"/>
        <v>-1.0161800183013061</v>
      </c>
      <c r="W46" s="11">
        <f t="shared" si="21"/>
        <v>0</v>
      </c>
      <c r="X46" s="11">
        <f t="shared" si="22"/>
        <v>21.961567257299727</v>
      </c>
      <c r="Y46" s="11">
        <f t="shared" si="23"/>
        <v>0</v>
      </c>
      <c r="Z46" s="9">
        <f t="shared" si="24"/>
        <v>20.945387238998421</v>
      </c>
      <c r="AA46" s="9">
        <f t="shared" si="25"/>
        <v>2.2857142857142856</v>
      </c>
      <c r="AB46" s="10">
        <f t="shared" si="26"/>
        <v>726.23076155844137</v>
      </c>
      <c r="AC46" s="9">
        <f t="shared" si="27"/>
        <v>18.659672953284137</v>
      </c>
      <c r="AD46" s="8">
        <f t="shared" si="28"/>
        <v>40783.259740259746</v>
      </c>
      <c r="AE46" s="7">
        <f t="shared" si="29"/>
        <v>5928.6624684415592</v>
      </c>
    </row>
    <row r="47" spans="1:31" x14ac:dyDescent="0.25">
      <c r="A47" s="22">
        <f t="shared" ca="1" si="15"/>
        <v>46182</v>
      </c>
      <c r="B47" s="21" t="s">
        <v>2</v>
      </c>
      <c r="C47" s="20" t="s">
        <v>1</v>
      </c>
      <c r="D47" s="4" t="s">
        <v>117</v>
      </c>
      <c r="E47" s="3" t="str">
        <f>VLOOKUP(D47,'[1]ANALISIS (NEW)'!C:E,3,FALSE)</f>
        <v>BRKT/CLIP-A/C LINE</v>
      </c>
      <c r="F47" s="19" t="str">
        <f>VLOOKUP(D47,'[1]ANALISIS (NEW)'!C:AX,48,FALSE)</f>
        <v>PRECISE TOOL &amp; DIE LIMIT</v>
      </c>
      <c r="G47" s="15" t="str">
        <f>VLOOKUP(D:D,'[1]ANALISIS (NEW)'!C:BY,75,FALSE)</f>
        <v>EA</v>
      </c>
      <c r="H47" s="18" t="str">
        <f>VLOOKUP(D47,'[1]ANALISIS (NEW)'!C:BF,49,FALSE)</f>
        <v xml:space="preserve">CA </v>
      </c>
      <c r="I47" s="17">
        <f>VLOOKUP(D47,'[1]ANALISIS (NEW)'!C:BF,50,FALSE)</f>
        <v>11</v>
      </c>
      <c r="J47" s="16">
        <f>VLOOKUP(D47,'[1]ANALISIS (NEW)'!C:BG,57,FALSE)</f>
        <v>0.58979999999999999</v>
      </c>
      <c r="K47" s="15">
        <f>VLOOKUP(D47,'[1]ANALISIS (NEW)'!C:BF,56,FALSE)</f>
        <v>12122.636363636364</v>
      </c>
      <c r="L47" s="14">
        <v>3000</v>
      </c>
      <c r="M47" s="14">
        <f>VLOOKUP(D47,'[1]Inv Sem 23 pzas '!A:F,2,FALSE)</f>
        <v>0</v>
      </c>
      <c r="N47" s="14">
        <f>VLOOKUP(D47,'[1]Inv Sem 23 pzas '!A:F,3,FALSE)</f>
        <v>10125</v>
      </c>
      <c r="O47" s="14">
        <f>VLOOKUP(D47,'[1]Inv Sem 23 pzas '!A:F,4,FALSE)</f>
        <v>6423</v>
      </c>
      <c r="P47" s="14">
        <f>VLOOKUP(D47,'[1]Inv Sem 23 pzas '!A:F,5,FALSE)</f>
        <v>0</v>
      </c>
      <c r="Q47" s="14">
        <f>VLOOKUP(D47,'[1]Inv Sem 23 pzas '!A:F,6,FALSE)</f>
        <v>21625</v>
      </c>
      <c r="R47" s="13">
        <f t="shared" si="16"/>
        <v>41173</v>
      </c>
      <c r="S47" s="12">
        <f t="shared" si="17"/>
        <v>24283.8354</v>
      </c>
      <c r="T47" s="11">
        <f t="shared" si="18"/>
        <v>0</v>
      </c>
      <c r="U47" s="11">
        <f t="shared" si="19"/>
        <v>0.83521436231242829</v>
      </c>
      <c r="V47" s="11">
        <f t="shared" si="20"/>
        <v>0.52983524435878782</v>
      </c>
      <c r="W47" s="11">
        <f t="shared" si="21"/>
        <v>0</v>
      </c>
      <c r="X47" s="11">
        <f t="shared" si="22"/>
        <v>1.7838528972845691</v>
      </c>
      <c r="Y47" s="11">
        <f t="shared" si="23"/>
        <v>0.2474709221666454</v>
      </c>
      <c r="Z47" s="9">
        <f t="shared" si="24"/>
        <v>3.3963734261224308</v>
      </c>
      <c r="AA47" s="9">
        <f t="shared" si="25"/>
        <v>2.5714285714285716</v>
      </c>
      <c r="AB47" s="10">
        <f t="shared" si="26"/>
        <v>18385.53667012987</v>
      </c>
      <c r="AC47" s="9">
        <f t="shared" si="27"/>
        <v>0.82494485469385914</v>
      </c>
      <c r="AD47" s="8">
        <f t="shared" si="28"/>
        <v>10000.506493506493</v>
      </c>
      <c r="AE47" s="7">
        <f t="shared" si="29"/>
        <v>5898.2987298701291</v>
      </c>
    </row>
    <row r="48" spans="1:31" x14ac:dyDescent="0.25">
      <c r="A48" s="22">
        <f t="shared" ca="1" si="15"/>
        <v>46182</v>
      </c>
      <c r="B48" s="21" t="s">
        <v>2</v>
      </c>
      <c r="C48" s="20" t="s">
        <v>1</v>
      </c>
      <c r="D48" s="4" t="s">
        <v>116</v>
      </c>
      <c r="E48" s="3" t="str">
        <f>VLOOKUP(D48,'[1]ANALISIS (NEW)'!C:E,3,FALSE)</f>
        <v>Label - A/C 3M 7874 Thermal Polyeste</v>
      </c>
      <c r="F48" s="19" t="str">
        <f>VLOOKUP(D48,'[1]ANALISIS (NEW)'!C:AX,48,FALSE)</f>
        <v>GENERAL LABELS AND PRINT</v>
      </c>
      <c r="G48" s="15" t="str">
        <f>VLOOKUP(D:D,'[1]ANALISIS (NEW)'!C:BY,75,FALSE)</f>
        <v>EA</v>
      </c>
      <c r="H48" s="18" t="str">
        <f>VLOOKUP(D48,'[1]ANALISIS (NEW)'!C:BF,49,FALSE)</f>
        <v xml:space="preserve">US </v>
      </c>
      <c r="I48" s="17">
        <f>VLOOKUP(D48,'[1]ANALISIS (NEW)'!C:BF,50,FALSE)</f>
        <v>9</v>
      </c>
      <c r="J48" s="16">
        <f>VLOOKUP(D48,'[1]ANALISIS (NEW)'!C:BG,57,FALSE)</f>
        <v>0.14537</v>
      </c>
      <c r="K48" s="15">
        <f>VLOOKUP(D48,'[1]ANALISIS (NEW)'!C:BF,56,FALSE)</f>
        <v>9.0909090909090917</v>
      </c>
      <c r="L48" s="14">
        <v>0</v>
      </c>
      <c r="M48" s="14">
        <f>VLOOKUP(D48,'[1]Inv Sem 23 pzas '!A:F,2,FALSE)</f>
        <v>0</v>
      </c>
      <c r="N48" s="14">
        <f>VLOOKUP(D48,'[1]Inv Sem 23 pzas '!A:F,3,FALSE)</f>
        <v>0</v>
      </c>
      <c r="O48" s="14">
        <f>VLOOKUP(D48,'[1]Inv Sem 23 pzas '!A:F,4,FALSE)</f>
        <v>8493</v>
      </c>
      <c r="P48" s="14">
        <f>VLOOKUP(D48,'[1]Inv Sem 23 pzas '!A:F,5,FALSE)</f>
        <v>0</v>
      </c>
      <c r="Q48" s="14">
        <f>VLOOKUP(D48,'[1]Inv Sem 23 pzas '!A:F,6,FALSE)</f>
        <v>30000</v>
      </c>
      <c r="R48" s="13">
        <f t="shared" si="16"/>
        <v>38493</v>
      </c>
      <c r="S48" s="12">
        <f t="shared" si="17"/>
        <v>5595.7274100000004</v>
      </c>
      <c r="T48" s="11">
        <f t="shared" si="18"/>
        <v>0</v>
      </c>
      <c r="U48" s="11">
        <f t="shared" si="19"/>
        <v>0</v>
      </c>
      <c r="V48" s="11">
        <f t="shared" si="20"/>
        <v>934.2299999999999</v>
      </c>
      <c r="W48" s="11">
        <f t="shared" si="21"/>
        <v>0</v>
      </c>
      <c r="X48" s="11">
        <f t="shared" si="22"/>
        <v>3299.9999999999995</v>
      </c>
      <c r="Y48" s="11">
        <f t="shared" si="23"/>
        <v>0</v>
      </c>
      <c r="Z48" s="9">
        <f t="shared" si="24"/>
        <v>4234.2299999999996</v>
      </c>
      <c r="AA48" s="9">
        <f t="shared" si="25"/>
        <v>2.2857142857142856</v>
      </c>
      <c r="AB48" s="10">
        <f t="shared" si="26"/>
        <v>3.0206753246753246</v>
      </c>
      <c r="AC48" s="9">
        <f t="shared" si="27"/>
        <v>4231.9442857142849</v>
      </c>
      <c r="AD48" s="8">
        <f t="shared" si="28"/>
        <v>38472.220779220777</v>
      </c>
      <c r="AE48" s="7">
        <f t="shared" si="29"/>
        <v>5592.7067346753247</v>
      </c>
    </row>
    <row r="49" spans="1:31" x14ac:dyDescent="0.25">
      <c r="A49" s="22">
        <f t="shared" ca="1" si="15"/>
        <v>46182</v>
      </c>
      <c r="B49" s="21" t="s">
        <v>2</v>
      </c>
      <c r="C49" s="20" t="s">
        <v>1</v>
      </c>
      <c r="D49" s="4" t="s">
        <v>115</v>
      </c>
      <c r="E49" s="3" t="str">
        <f>VLOOKUP(D49,'[1]ANALISIS (NEW)'!C:E,3,FALSE)</f>
        <v>BRKT/CLIP-A/C LINE</v>
      </c>
      <c r="F49" s="19" t="str">
        <f>VLOOKUP(D49,'[1]ANALISIS (NEW)'!C:AX,48,FALSE)</f>
        <v>ELITE PLASTIC PRODUCTS I</v>
      </c>
      <c r="G49" s="15" t="str">
        <f>VLOOKUP(D:D,'[1]ANALISIS (NEW)'!C:BY,75,FALSE)</f>
        <v>EA</v>
      </c>
      <c r="H49" s="18" t="str">
        <f>VLOOKUP(D49,'[1]ANALISIS (NEW)'!C:BF,49,FALSE)</f>
        <v xml:space="preserve">US </v>
      </c>
      <c r="I49" s="17">
        <f>VLOOKUP(D49,'[1]ANALISIS (NEW)'!C:BF,50,FALSE)</f>
        <v>9</v>
      </c>
      <c r="J49" s="16">
        <f>VLOOKUP(D49,'[1]ANALISIS (NEW)'!C:BG,57,FALSE)</f>
        <v>0.37592000000000003</v>
      </c>
      <c r="K49" s="15">
        <f>VLOOKUP(D49,'[1]ANALISIS (NEW)'!C:BF,56,FALSE)</f>
        <v>3863.909090909091</v>
      </c>
      <c r="L49" s="14">
        <v>7400</v>
      </c>
      <c r="M49" s="14">
        <f>VLOOKUP(D49,'[1]Inv Sem 23 pzas '!A:F,2,FALSE)</f>
        <v>0</v>
      </c>
      <c r="N49" s="14">
        <f>VLOOKUP(D49,'[1]Inv Sem 23 pzas '!A:F,3,FALSE)</f>
        <v>0</v>
      </c>
      <c r="O49" s="14">
        <f>VLOOKUP(D49,'[1]Inv Sem 23 pzas '!A:F,4,FALSE)</f>
        <v>874</v>
      </c>
      <c r="P49" s="14">
        <f>VLOOKUP(D49,'[1]Inv Sem 23 pzas '!A:F,5,FALSE)</f>
        <v>0</v>
      </c>
      <c r="Q49" s="14">
        <f>VLOOKUP(D49,'[1]Inv Sem 23 pzas '!A:F,6,FALSE)</f>
        <v>14800</v>
      </c>
      <c r="R49" s="13">
        <f t="shared" si="16"/>
        <v>23074</v>
      </c>
      <c r="S49" s="12">
        <f t="shared" si="17"/>
        <v>8673.9780800000008</v>
      </c>
      <c r="T49" s="11">
        <f t="shared" si="18"/>
        <v>0</v>
      </c>
      <c r="U49" s="11">
        <f t="shared" si="19"/>
        <v>0</v>
      </c>
      <c r="V49" s="11">
        <f t="shared" si="20"/>
        <v>0.22619579794367456</v>
      </c>
      <c r="W49" s="11">
        <f t="shared" si="21"/>
        <v>0</v>
      </c>
      <c r="X49" s="11">
        <f t="shared" si="22"/>
        <v>3.8303178599157706</v>
      </c>
      <c r="Y49" s="11">
        <f t="shared" si="23"/>
        <v>1.9151589299578853</v>
      </c>
      <c r="Z49" s="9">
        <f t="shared" si="24"/>
        <v>5.9716725878173307</v>
      </c>
      <c r="AA49" s="9">
        <f t="shared" si="25"/>
        <v>2.2857142857142856</v>
      </c>
      <c r="AB49" s="10">
        <f t="shared" si="26"/>
        <v>3320.0473267532466</v>
      </c>
      <c r="AC49" s="9">
        <f t="shared" si="27"/>
        <v>3.6859583021030451</v>
      </c>
      <c r="AD49" s="8">
        <f t="shared" si="28"/>
        <v>14242.207792207793</v>
      </c>
      <c r="AE49" s="7">
        <f t="shared" si="29"/>
        <v>5353.9307532467537</v>
      </c>
    </row>
    <row r="50" spans="1:31" x14ac:dyDescent="0.25">
      <c r="A50" s="22">
        <f t="shared" ca="1" si="15"/>
        <v>46182</v>
      </c>
      <c r="B50" s="21" t="s">
        <v>2</v>
      </c>
      <c r="C50" s="20" t="s">
        <v>1</v>
      </c>
      <c r="D50" s="4" t="s">
        <v>114</v>
      </c>
      <c r="E50" s="3" t="str">
        <f>VLOOKUP(D50,'[1]ANALISIS (NEW)'!C:E,3,FALSE)</f>
        <v>CAP ASY-A/C C/VALVE M10 High Side Valve</v>
      </c>
      <c r="F50" s="19" t="str">
        <f>VLOOKUP(D50,'[1]ANALISIS (NEW)'!C:AX,48,FALSE)</f>
        <v>VPI AQUISITION LLC DBA V</v>
      </c>
      <c r="G50" s="15" t="str">
        <f>VLOOKUP(D:D,'[1]ANALISIS (NEW)'!C:BY,75,FALSE)</f>
        <v>EA</v>
      </c>
      <c r="H50" s="18" t="str">
        <f>VLOOKUP(D50,'[1]ANALISIS (NEW)'!C:BF,49,FALSE)</f>
        <v xml:space="preserve">US </v>
      </c>
      <c r="I50" s="17">
        <f>VLOOKUP(D50,'[1]ANALISIS (NEW)'!C:BF,50,FALSE)</f>
        <v>9</v>
      </c>
      <c r="J50" s="16">
        <f>VLOOKUP(D50,'[1]ANALISIS (NEW)'!C:BG,57,FALSE)</f>
        <v>0.15530000000000002</v>
      </c>
      <c r="K50" s="15">
        <f>VLOOKUP(D50,'[1]ANALISIS (NEW)'!C:BF,56,FALSE)</f>
        <v>108.27272727272727</v>
      </c>
      <c r="L50" s="14">
        <v>0</v>
      </c>
      <c r="M50" s="14">
        <f>VLOOKUP(D50,'[1]Inv Sem 23 pzas '!A:F,2,FALSE)</f>
        <v>0</v>
      </c>
      <c r="N50" s="14">
        <f>VLOOKUP(D50,'[1]Inv Sem 23 pzas '!A:F,3,FALSE)</f>
        <v>27000</v>
      </c>
      <c r="O50" s="14">
        <f>VLOOKUP(D50,'[1]Inv Sem 23 pzas '!A:F,4,FALSE)</f>
        <v>1925</v>
      </c>
      <c r="P50" s="14">
        <f>VLOOKUP(D50,'[1]Inv Sem 23 pzas '!A:F,5,FALSE)</f>
        <v>0</v>
      </c>
      <c r="Q50" s="14">
        <f>VLOOKUP(D50,'[1]Inv Sem 23 pzas '!A:F,6,FALSE)</f>
        <v>5600</v>
      </c>
      <c r="R50" s="13">
        <f t="shared" si="16"/>
        <v>34525</v>
      </c>
      <c r="S50" s="12">
        <f t="shared" si="17"/>
        <v>5361.732500000001</v>
      </c>
      <c r="T50" s="11">
        <f t="shared" si="18"/>
        <v>0</v>
      </c>
      <c r="U50" s="11">
        <f t="shared" si="19"/>
        <v>249.37027707808565</v>
      </c>
      <c r="V50" s="11">
        <f t="shared" si="20"/>
        <v>17.7791771620487</v>
      </c>
      <c r="W50" s="11">
        <f t="shared" si="21"/>
        <v>0</v>
      </c>
      <c r="X50" s="11">
        <f t="shared" si="22"/>
        <v>51.721242653232579</v>
      </c>
      <c r="Y50" s="11">
        <f t="shared" si="23"/>
        <v>0</v>
      </c>
      <c r="Z50" s="9">
        <f t="shared" si="24"/>
        <v>318.87069689336693</v>
      </c>
      <c r="AA50" s="9">
        <f t="shared" si="25"/>
        <v>2.2857142857142856</v>
      </c>
      <c r="AB50" s="10">
        <f t="shared" si="26"/>
        <v>38.433724675324676</v>
      </c>
      <c r="AC50" s="9">
        <f t="shared" si="27"/>
        <v>316.58498260765265</v>
      </c>
      <c r="AD50" s="8">
        <f t="shared" si="28"/>
        <v>34277.519480519477</v>
      </c>
      <c r="AE50" s="7">
        <f t="shared" si="29"/>
        <v>5323.2987753246753</v>
      </c>
    </row>
    <row r="51" spans="1:31" x14ac:dyDescent="0.25">
      <c r="A51" s="22">
        <f t="shared" ca="1" si="15"/>
        <v>46182</v>
      </c>
      <c r="B51" s="21" t="s">
        <v>2</v>
      </c>
      <c r="C51" s="20" t="s">
        <v>1</v>
      </c>
      <c r="D51" s="4" t="s">
        <v>113</v>
      </c>
      <c r="E51" s="3" t="str">
        <f>VLOOKUP(D51,'[1]ANALISIS (NEW)'!C:E,3,FALSE)</f>
        <v>Gasket-A/C Tube Bracket 3/8" EPDM SSL</v>
      </c>
      <c r="F51" s="19" t="str">
        <f>VLOOKUP(D51,'[1]ANALISIS (NEW)'!C:AX,48,FALSE)</f>
        <v>PARKER HANNIFIN CORPORAT</v>
      </c>
      <c r="G51" s="15" t="str">
        <f>VLOOKUP(D:D,'[1]ANALISIS (NEW)'!C:BY,75,FALSE)</f>
        <v>EA</v>
      </c>
      <c r="H51" s="18" t="str">
        <f>VLOOKUP(D51,'[1]ANALISIS (NEW)'!C:BF,49,FALSE)</f>
        <v xml:space="preserve">US </v>
      </c>
      <c r="I51" s="17">
        <f>VLOOKUP(D51,'[1]ANALISIS (NEW)'!C:BF,50,FALSE)</f>
        <v>9</v>
      </c>
      <c r="J51" s="16">
        <f>VLOOKUP(D51,'[1]ANALISIS (NEW)'!C:BG,57,FALSE)</f>
        <v>0.1351</v>
      </c>
      <c r="K51" s="15">
        <f>VLOOKUP(D51,'[1]ANALISIS (NEW)'!C:BF,56,FALSE)</f>
        <v>12750.181818181818</v>
      </c>
      <c r="L51" s="14">
        <v>20000</v>
      </c>
      <c r="M51" s="14">
        <f>VLOOKUP(D51,'[1]Inv Sem 23 pzas '!A:F,2,FALSE)</f>
        <v>0</v>
      </c>
      <c r="N51" s="14">
        <f>VLOOKUP(D51,'[1]Inv Sem 23 pzas '!A:F,3,FALSE)</f>
        <v>30000</v>
      </c>
      <c r="O51" s="14">
        <f>VLOOKUP(D51,'[1]Inv Sem 23 pzas '!A:F,4,FALSE)</f>
        <v>-2160</v>
      </c>
      <c r="P51" s="14">
        <f>VLOOKUP(D51,'[1]Inv Sem 23 pzas '!A:F,5,FALSE)</f>
        <v>0</v>
      </c>
      <c r="Q51" s="14">
        <f>VLOOKUP(D51,'[1]Inv Sem 23 pzas '!A:F,6,FALSE)</f>
        <v>20500</v>
      </c>
      <c r="R51" s="13">
        <f t="shared" si="16"/>
        <v>68340</v>
      </c>
      <c r="S51" s="12">
        <f t="shared" si="17"/>
        <v>9232.7340000000004</v>
      </c>
      <c r="T51" s="11">
        <f t="shared" si="18"/>
        <v>0</v>
      </c>
      <c r="U51" s="11">
        <f t="shared" si="19"/>
        <v>2.3529076234207</v>
      </c>
      <c r="V51" s="11">
        <f t="shared" si="20"/>
        <v>-0.16940934888629039</v>
      </c>
      <c r="W51" s="11">
        <f t="shared" si="21"/>
        <v>0</v>
      </c>
      <c r="X51" s="11">
        <f t="shared" si="22"/>
        <v>1.6078202093374783</v>
      </c>
      <c r="Y51" s="11">
        <f t="shared" si="23"/>
        <v>1.5686050822804667</v>
      </c>
      <c r="Z51" s="9">
        <f t="shared" si="24"/>
        <v>5.3599235661523545</v>
      </c>
      <c r="AA51" s="9">
        <f t="shared" si="25"/>
        <v>2.2857142857142856</v>
      </c>
      <c r="AB51" s="10">
        <f t="shared" si="26"/>
        <v>3937.2561454545448</v>
      </c>
      <c r="AC51" s="9">
        <f t="shared" si="27"/>
        <v>3.074209280438069</v>
      </c>
      <c r="AD51" s="8">
        <f t="shared" si="28"/>
        <v>39196.727272727279</v>
      </c>
      <c r="AE51" s="7">
        <f t="shared" si="29"/>
        <v>5295.4778545454556</v>
      </c>
    </row>
    <row r="52" spans="1:31" x14ac:dyDescent="0.25">
      <c r="A52" s="22">
        <f t="shared" ca="1" si="15"/>
        <v>46182</v>
      </c>
      <c r="B52" s="21" t="s">
        <v>2</v>
      </c>
      <c r="C52" s="20" t="s">
        <v>1</v>
      </c>
      <c r="D52" s="4" t="s">
        <v>112</v>
      </c>
      <c r="E52" s="3" t="str">
        <f>VLOOKUP(D52,'[1]ANALISIS (NEW)'!C:E,3,FALSE)</f>
        <v>O-RING</v>
      </c>
      <c r="F52" s="19" t="str">
        <f>VLOOKUP(D52,'[1]ANALISIS (NEW)'!C:AX,48,FALSE)</f>
        <v>TRELLEBORG SEALING SOLUT</v>
      </c>
      <c r="G52" s="15" t="str">
        <f>VLOOKUP(D:D,'[1]ANALISIS (NEW)'!C:BY,75,FALSE)</f>
        <v>EA</v>
      </c>
      <c r="H52" s="18" t="str">
        <f>VLOOKUP(D52,'[1]ANALISIS (NEW)'!C:BF,49,FALSE)</f>
        <v xml:space="preserve">US </v>
      </c>
      <c r="I52" s="17">
        <f>VLOOKUP(D52,'[1]ANALISIS (NEW)'!C:BF,50,FALSE)</f>
        <v>9</v>
      </c>
      <c r="J52" s="16">
        <f>VLOOKUP(D52,'[1]ANALISIS (NEW)'!C:BG,57,FALSE)</f>
        <v>0.113</v>
      </c>
      <c r="K52" s="15">
        <f>VLOOKUP(D52,'[1]ANALISIS (NEW)'!C:BF,56,FALSE)</f>
        <v>25605.454545454544</v>
      </c>
      <c r="L52" s="14">
        <v>16862</v>
      </c>
      <c r="M52" s="14">
        <f>VLOOKUP(D52,'[1]Inv Sem 23 pzas '!A:F,2,FALSE)</f>
        <v>0</v>
      </c>
      <c r="N52" s="14">
        <f>VLOOKUP(D52,'[1]Inv Sem 23 pzas '!A:F,3,FALSE)</f>
        <v>0</v>
      </c>
      <c r="O52" s="14">
        <f>VLOOKUP(D52,'[1]Inv Sem 23 pzas '!A:F,4,FALSE)</f>
        <v>6836</v>
      </c>
      <c r="P52" s="14">
        <f>VLOOKUP(D52,'[1]Inv Sem 23 pzas '!A:F,5,FALSE)</f>
        <v>0</v>
      </c>
      <c r="Q52" s="14">
        <f>VLOOKUP(D52,'[1]Inv Sem 23 pzas '!A:F,6,FALSE)</f>
        <v>81331</v>
      </c>
      <c r="R52" s="13">
        <f t="shared" si="16"/>
        <v>105029</v>
      </c>
      <c r="S52" s="12">
        <f t="shared" si="17"/>
        <v>11868.277</v>
      </c>
      <c r="T52" s="11">
        <f t="shared" si="18"/>
        <v>0</v>
      </c>
      <c r="U52" s="11">
        <f t="shared" si="19"/>
        <v>0</v>
      </c>
      <c r="V52" s="11">
        <f t="shared" si="20"/>
        <v>0.26697436625718951</v>
      </c>
      <c r="W52" s="11">
        <f t="shared" si="21"/>
        <v>0</v>
      </c>
      <c r="X52" s="11">
        <f t="shared" si="22"/>
        <v>3.1763154157494853</v>
      </c>
      <c r="Y52" s="11">
        <f t="shared" si="23"/>
        <v>0.65853156287722792</v>
      </c>
      <c r="Z52" s="9">
        <f t="shared" si="24"/>
        <v>4.101821344883902</v>
      </c>
      <c r="AA52" s="9">
        <f t="shared" si="25"/>
        <v>2.2857142857142856</v>
      </c>
      <c r="AB52" s="10">
        <f t="shared" si="26"/>
        <v>6613.5231168831169</v>
      </c>
      <c r="AC52" s="9">
        <f t="shared" si="27"/>
        <v>1.8161070591696165</v>
      </c>
      <c r="AD52" s="8">
        <f t="shared" si="28"/>
        <v>46502.246753246742</v>
      </c>
      <c r="AE52" s="7">
        <f t="shared" si="29"/>
        <v>5254.7538831168822</v>
      </c>
    </row>
    <row r="53" spans="1:31" x14ac:dyDescent="0.25">
      <c r="A53" s="22">
        <f t="shared" ca="1" si="15"/>
        <v>46182</v>
      </c>
      <c r="B53" s="21" t="s">
        <v>2</v>
      </c>
      <c r="C53" s="20" t="s">
        <v>1</v>
      </c>
      <c r="D53" s="4" t="s">
        <v>111</v>
      </c>
      <c r="E53" s="3" t="str">
        <f>VLOOKUP(D53,'[1]ANALISIS (NEW)'!C:E,3,FALSE)</f>
        <v>Gasket-A/C Tube Bracket</v>
      </c>
      <c r="F53" s="19" t="str">
        <f>VLOOKUP(D53,'[1]ANALISIS (NEW)'!C:AX,48,FALSE)</f>
        <v>PARKER HANNIFIN CORPORAT</v>
      </c>
      <c r="G53" s="15" t="str">
        <f>VLOOKUP(D:D,'[1]ANALISIS (NEW)'!C:BY,75,FALSE)</f>
        <v>EA</v>
      </c>
      <c r="H53" s="18" t="str">
        <f>VLOOKUP(D53,'[1]ANALISIS (NEW)'!C:BF,49,FALSE)</f>
        <v xml:space="preserve">US </v>
      </c>
      <c r="I53" s="17">
        <f>VLOOKUP(D53,'[1]ANALISIS (NEW)'!C:BF,50,FALSE)</f>
        <v>9</v>
      </c>
      <c r="J53" s="16">
        <f>VLOOKUP(D53,'[1]ANALISIS (NEW)'!C:BG,57,FALSE)</f>
        <v>0.18099999999999999</v>
      </c>
      <c r="K53" s="15">
        <f>VLOOKUP(D53,'[1]ANALISIS (NEW)'!C:BF,56,FALSE)</f>
        <v>12746.454545454546</v>
      </c>
      <c r="L53" s="14">
        <v>10000</v>
      </c>
      <c r="M53" s="14">
        <f>VLOOKUP(D53,'[1]Inv Sem 23 pzas '!A:F,2,FALSE)</f>
        <v>5000</v>
      </c>
      <c r="N53" s="14">
        <f>VLOOKUP(D53,'[1]Inv Sem 23 pzas '!A:F,3,FALSE)</f>
        <v>25000</v>
      </c>
      <c r="O53" s="14">
        <f>VLOOKUP(D53,'[1]Inv Sem 23 pzas '!A:F,4,FALSE)</f>
        <v>328</v>
      </c>
      <c r="P53" s="14">
        <f>VLOOKUP(D53,'[1]Inv Sem 23 pzas '!A:F,5,FALSE)</f>
        <v>0</v>
      </c>
      <c r="Q53" s="14">
        <f>VLOOKUP(D53,'[1]Inv Sem 23 pzas '!A:F,6,FALSE)</f>
        <v>17500</v>
      </c>
      <c r="R53" s="13">
        <f t="shared" si="16"/>
        <v>57828</v>
      </c>
      <c r="S53" s="12">
        <f t="shared" si="17"/>
        <v>10466.868</v>
      </c>
      <c r="T53" s="11">
        <f t="shared" si="18"/>
        <v>0.39226594204449006</v>
      </c>
      <c r="U53" s="11">
        <f t="shared" si="19"/>
        <v>1.9613297102224503</v>
      </c>
      <c r="V53" s="11">
        <f t="shared" si="20"/>
        <v>2.5732645798118549E-2</v>
      </c>
      <c r="W53" s="11">
        <f t="shared" si="21"/>
        <v>0</v>
      </c>
      <c r="X53" s="11">
        <f t="shared" si="22"/>
        <v>1.3729307971557152</v>
      </c>
      <c r="Y53" s="11">
        <f t="shared" si="23"/>
        <v>0.78453188408898011</v>
      </c>
      <c r="Z53" s="9">
        <f t="shared" si="24"/>
        <v>4.5367909793097541</v>
      </c>
      <c r="AA53" s="9">
        <f t="shared" si="25"/>
        <v>2.2857142857142856</v>
      </c>
      <c r="AB53" s="10">
        <f t="shared" si="26"/>
        <v>5273.3903376623375</v>
      </c>
      <c r="AC53" s="9">
        <f t="shared" si="27"/>
        <v>2.2510766935954685</v>
      </c>
      <c r="AD53" s="8">
        <f t="shared" si="28"/>
        <v>28693.246753246749</v>
      </c>
      <c r="AE53" s="7">
        <f t="shared" si="29"/>
        <v>5193.4776623376611</v>
      </c>
    </row>
    <row r="54" spans="1:31" x14ac:dyDescent="0.25">
      <c r="A54" s="22">
        <f t="shared" ca="1" si="15"/>
        <v>46182</v>
      </c>
      <c r="B54" s="21" t="s">
        <v>2</v>
      </c>
      <c r="C54" s="20" t="s">
        <v>1</v>
      </c>
      <c r="D54" s="4" t="s">
        <v>110</v>
      </c>
      <c r="E54" s="3" t="str">
        <f>VLOOKUP(D54,'[1]ANALISIS (NEW)'!C:E,3,FALSE)</f>
        <v>3/4" 4882</v>
      </c>
      <c r="F54" s="19" t="str">
        <f>VLOOKUP(D54,'[1]ANALISIS (NEW)'!C:AX,48,FALSE)</f>
        <v>CONTITECH USA, INC.</v>
      </c>
      <c r="G54" s="15" t="str">
        <f>VLOOKUP(D:D,'[1]ANALISIS (NEW)'!C:BY,75,FALSE)</f>
        <v>MM</v>
      </c>
      <c r="H54" s="18" t="str">
        <f>VLOOKUP(D54,'[1]ANALISIS (NEW)'!C:BF,49,FALSE)</f>
        <v xml:space="preserve">US </v>
      </c>
      <c r="I54" s="17">
        <f>VLOOKUP(D54,'[1]ANALISIS (NEW)'!C:BF,50,FALSE)</f>
        <v>9</v>
      </c>
      <c r="J54" s="16">
        <f>VLOOKUP(D54,'[1]ANALISIS (NEW)'!C:BG,57,FALSE)*1000</f>
        <v>4.22</v>
      </c>
      <c r="K54" s="15">
        <f>VLOOKUP(D54,'[1]ANALISIS (NEW)'!C:BF,56,FALSE)</f>
        <v>2776.8763636363637</v>
      </c>
      <c r="L54" s="14">
        <v>3819</v>
      </c>
      <c r="M54" s="14">
        <f>VLOOKUP(D54,'[1]Inv Sem 23 pzas '!A:F,2,FALSE)/1000</f>
        <v>0</v>
      </c>
      <c r="N54" s="14">
        <f>VLOOKUP(D54,'[1]Inv Sem 23 pzas '!A:F,3,FALSE)/1000</f>
        <v>0</v>
      </c>
      <c r="O54" s="14">
        <f>VLOOKUP(D54,'[1]Inv Sem 23 pzas '!A:F,4,FALSE)/1000</f>
        <v>4.7841000000000005</v>
      </c>
      <c r="P54" s="14">
        <f>VLOOKUP(D54,'[1]Inv Sem 23 pzas '!A:F,5,FALSE)</f>
        <v>0</v>
      </c>
      <c r="Q54" s="14">
        <f>VLOOKUP(D54,'[1]Inv Sem 23 pzas '!A:F,6,FALSE)/1000</f>
        <v>3698</v>
      </c>
      <c r="R54" s="13">
        <f t="shared" si="16"/>
        <v>7521.7840999999999</v>
      </c>
      <c r="S54" s="12">
        <f t="shared" si="17"/>
        <v>31741.928901999996</v>
      </c>
      <c r="T54" s="11">
        <f t="shared" si="18"/>
        <v>0</v>
      </c>
      <c r="U54" s="11">
        <f t="shared" si="19"/>
        <v>0</v>
      </c>
      <c r="V54" s="11">
        <f t="shared" si="20"/>
        <v>1.7228350756441837E-3</v>
      </c>
      <c r="W54" s="11">
        <f t="shared" si="21"/>
        <v>0</v>
      </c>
      <c r="X54" s="11">
        <f t="shared" si="22"/>
        <v>1.3317121527000253</v>
      </c>
      <c r="Y54" s="11">
        <f t="shared" si="23"/>
        <v>1.3752862929046501</v>
      </c>
      <c r="Z54" s="9">
        <f t="shared" si="24"/>
        <v>2.7087212806803196</v>
      </c>
      <c r="AA54" s="9">
        <f t="shared" si="25"/>
        <v>2.2857142857142856</v>
      </c>
      <c r="AB54" s="10">
        <f t="shared" si="26"/>
        <v>26784.956010389611</v>
      </c>
      <c r="AC54" s="9">
        <f t="shared" si="27"/>
        <v>0.423006994966034</v>
      </c>
      <c r="AD54" s="8">
        <f t="shared" si="28"/>
        <v>1174.638125974026</v>
      </c>
      <c r="AE54" s="7">
        <f t="shared" si="29"/>
        <v>4956.9728916103895</v>
      </c>
    </row>
    <row r="55" spans="1:31" x14ac:dyDescent="0.25">
      <c r="A55" s="22">
        <f t="shared" ca="1" si="15"/>
        <v>46182</v>
      </c>
      <c r="B55" s="21" t="s">
        <v>2</v>
      </c>
      <c r="C55" s="20" t="s">
        <v>1</v>
      </c>
      <c r="D55" s="4" t="s">
        <v>109</v>
      </c>
      <c r="E55" s="3" t="str">
        <f>VLOOKUP(D55,'[1]ANALISIS (NEW)'!C:E,3,FALSE)</f>
        <v>GOOD YEAR 4890 13/32INCH</v>
      </c>
      <c r="F55" s="19" t="str">
        <f>VLOOKUP(D55,'[1]ANALISIS (NEW)'!C:AX,48,FALSE)</f>
        <v>CONTITECH USA, INC.</v>
      </c>
      <c r="G55" s="15" t="str">
        <f>VLOOKUP(D:D,'[1]ANALISIS (NEW)'!C:BY,75,FALSE)</f>
        <v>MM</v>
      </c>
      <c r="H55" s="18" t="str">
        <f>VLOOKUP(D55,'[1]ANALISIS (NEW)'!C:BF,49,FALSE)</f>
        <v xml:space="preserve">US </v>
      </c>
      <c r="I55" s="17">
        <f>VLOOKUP(D55,'[1]ANALISIS (NEW)'!C:BF,50,FALSE)</f>
        <v>9</v>
      </c>
      <c r="J55" s="16">
        <f>VLOOKUP(D55,'[1]ANALISIS (NEW)'!C:BG,57,FALSE)*1000</f>
        <v>2.0699999999999998</v>
      </c>
      <c r="K55" s="15">
        <f>VLOOKUP(D55,'[1]ANALISIS (NEW)'!C:BF,56,FALSE)</f>
        <v>7870.6270363636368</v>
      </c>
      <c r="L55" s="14">
        <v>9238</v>
      </c>
      <c r="M55" s="14">
        <f>VLOOKUP(D55,'[1]Inv Sem 23 pzas '!A:F,2,FALSE)/1000</f>
        <v>0</v>
      </c>
      <c r="N55" s="14">
        <f>VLOOKUP(D55,'[1]Inv Sem 23 pzas '!A:F,3,FALSE)/1000</f>
        <v>0</v>
      </c>
      <c r="O55" s="14">
        <f>VLOOKUP(D55,'[1]Inv Sem 23 pzas '!A:F,4,FALSE)/1000</f>
        <v>2208.2312999999999</v>
      </c>
      <c r="P55" s="14">
        <f>VLOOKUP(D55,'[1]Inv Sem 23 pzas '!A:F,5,FALSE)</f>
        <v>0</v>
      </c>
      <c r="Q55" s="14">
        <f>VLOOKUP(D55,'[1]Inv Sem 23 pzas '!A:F,6,FALSE)/1000</f>
        <v>8880</v>
      </c>
      <c r="R55" s="13">
        <f t="shared" si="16"/>
        <v>20326.231299999999</v>
      </c>
      <c r="S55" s="12">
        <f t="shared" si="17"/>
        <v>42075.298790999994</v>
      </c>
      <c r="T55" s="11">
        <f t="shared" si="18"/>
        <v>0</v>
      </c>
      <c r="U55" s="11">
        <f t="shared" si="19"/>
        <v>0</v>
      </c>
      <c r="V55" s="11">
        <f t="shared" si="20"/>
        <v>0.280566121326496</v>
      </c>
      <c r="W55" s="11">
        <f t="shared" si="21"/>
        <v>0</v>
      </c>
      <c r="X55" s="11">
        <f t="shared" si="22"/>
        <v>1.1282455589590115</v>
      </c>
      <c r="Y55" s="11">
        <f t="shared" si="23"/>
        <v>1.1737311344215482</v>
      </c>
      <c r="Z55" s="9">
        <f t="shared" si="24"/>
        <v>2.5825428147070557</v>
      </c>
      <c r="AA55" s="9">
        <f t="shared" si="25"/>
        <v>2.2857142857142856</v>
      </c>
      <c r="AB55" s="10">
        <f t="shared" si="26"/>
        <v>37239.309634909085</v>
      </c>
      <c r="AC55" s="9">
        <f t="shared" si="27"/>
        <v>0.29682852899277012</v>
      </c>
      <c r="AD55" s="8">
        <f t="shared" si="28"/>
        <v>2336.2266454545443</v>
      </c>
      <c r="AE55" s="7">
        <f t="shared" si="29"/>
        <v>4835.9891560909064</v>
      </c>
    </row>
    <row r="56" spans="1:31" x14ac:dyDescent="0.25">
      <c r="A56" s="22">
        <f t="shared" ca="1" si="15"/>
        <v>46182</v>
      </c>
      <c r="B56" s="21" t="s">
        <v>2</v>
      </c>
      <c r="C56" s="20" t="s">
        <v>1</v>
      </c>
      <c r="D56" s="4" t="s">
        <v>108</v>
      </c>
      <c r="E56" s="3" t="str">
        <f>VLOOKUP(D56,'[1]ANALISIS (NEW)'!C:E,3,FALSE)</f>
        <v>Label (Bulk) Blank light green</v>
      </c>
      <c r="F56" s="19" t="str">
        <f>VLOOKUP(D56,'[1]ANALISIS (NEW)'!C:AX,48,FALSE)</f>
        <v>GENERAL LABELS AND PRINT</v>
      </c>
      <c r="G56" s="15" t="str">
        <f>VLOOKUP(D:D,'[1]ANALISIS (NEW)'!C:BY,75,FALSE)</f>
        <v>EA</v>
      </c>
      <c r="H56" s="18" t="str">
        <f>VLOOKUP(D56,'[1]ANALISIS (NEW)'!C:BF,49,FALSE)</f>
        <v xml:space="preserve">US </v>
      </c>
      <c r="I56" s="17">
        <f>VLOOKUP(D56,'[1]ANALISIS (NEW)'!C:BF,50,FALSE)</f>
        <v>9</v>
      </c>
      <c r="J56" s="16">
        <f>VLOOKUP(D56,'[1]ANALISIS (NEW)'!C:BG,57,FALSE)</f>
        <v>2.5729999999999999E-2</v>
      </c>
      <c r="K56" s="15">
        <f>VLOOKUP(D56,'[1]ANALISIS (NEW)'!C:BF,56,FALSE)+0.1</f>
        <v>1385.1909090909089</v>
      </c>
      <c r="L56" s="14">
        <v>0</v>
      </c>
      <c r="M56" s="14">
        <f>VLOOKUP(D56,'[1]Inv Sem 23 pzas '!A:F,2,FALSE)</f>
        <v>0</v>
      </c>
      <c r="N56" s="14">
        <f>VLOOKUP(D56,'[1]Inv Sem 23 pzas '!A:F,3,FALSE)</f>
        <v>128520</v>
      </c>
      <c r="O56" s="14">
        <f>VLOOKUP(D56,'[1]Inv Sem 23 pzas '!A:F,4,FALSE)</f>
        <v>21290</v>
      </c>
      <c r="P56" s="14">
        <f>VLOOKUP(D56,'[1]Inv Sem 23 pzas '!A:F,5,FALSE)</f>
        <v>0</v>
      </c>
      <c r="Q56" s="14">
        <f>VLOOKUP(D56,'[1]Inv Sem 23 pzas '!A:F,6,FALSE)</f>
        <v>39120</v>
      </c>
      <c r="R56" s="13">
        <f t="shared" si="16"/>
        <v>188930</v>
      </c>
      <c r="S56" s="12">
        <f t="shared" si="17"/>
        <v>4861.1688999999997</v>
      </c>
      <c r="T56" s="11">
        <f t="shared" si="18"/>
        <v>0</v>
      </c>
      <c r="U56" s="11">
        <f t="shared" si="19"/>
        <v>92.781434787459574</v>
      </c>
      <c r="V56" s="11">
        <f t="shared" si="20"/>
        <v>15.369722585006334</v>
      </c>
      <c r="W56" s="11">
        <f t="shared" si="21"/>
        <v>0</v>
      </c>
      <c r="X56" s="11">
        <f t="shared" si="22"/>
        <v>28.241594529142688</v>
      </c>
      <c r="Y56" s="11">
        <f t="shared" si="23"/>
        <v>0</v>
      </c>
      <c r="Z56" s="9">
        <f t="shared" si="24"/>
        <v>136.39275190160859</v>
      </c>
      <c r="AA56" s="9">
        <f t="shared" si="25"/>
        <v>2.2857142857142856</v>
      </c>
      <c r="AB56" s="10">
        <f t="shared" si="26"/>
        <v>81.465056207792188</v>
      </c>
      <c r="AC56" s="9">
        <f t="shared" si="27"/>
        <v>134.10703761589431</v>
      </c>
      <c r="AD56" s="8">
        <f t="shared" si="28"/>
        <v>185763.84935064937</v>
      </c>
      <c r="AE56" s="7">
        <f t="shared" si="29"/>
        <v>4779.7038437922083</v>
      </c>
    </row>
    <row r="57" spans="1:31" x14ac:dyDescent="0.25">
      <c r="A57" s="22">
        <f t="shared" ca="1" si="15"/>
        <v>46182</v>
      </c>
      <c r="B57" s="21" t="s">
        <v>2</v>
      </c>
      <c r="C57" s="20" t="s">
        <v>1</v>
      </c>
      <c r="D57" s="4" t="s">
        <v>107</v>
      </c>
      <c r="E57" s="3" t="str">
        <f>VLOOKUP(D57,'[1]ANALISIS (NEW)'!C:E,3,FALSE)</f>
        <v>GROMMET-A/C TUBE BRKT</v>
      </c>
      <c r="F57" s="19" t="str">
        <f>VLOOKUP(D57,'[1]ANALISIS (NEW)'!C:AX,48,FALSE)</f>
        <v>SINCLAIR &amp; RUSH, INC.</v>
      </c>
      <c r="G57" s="15" t="str">
        <f>VLOOKUP(D:D,'[1]ANALISIS (NEW)'!C:BY,75,FALSE)</f>
        <v>EA</v>
      </c>
      <c r="H57" s="18" t="str">
        <f>VLOOKUP(D57,'[1]ANALISIS (NEW)'!C:BF,49,FALSE)</f>
        <v xml:space="preserve">US </v>
      </c>
      <c r="I57" s="17">
        <f>VLOOKUP(D57,'[1]ANALISIS (NEW)'!C:BF,50,FALSE)</f>
        <v>9</v>
      </c>
      <c r="J57" s="16">
        <f>VLOOKUP(D57,'[1]ANALISIS (NEW)'!C:BG,57,FALSE)</f>
        <v>0.3266</v>
      </c>
      <c r="K57" s="15">
        <f>VLOOKUP(D57,'[1]ANALISIS (NEW)'!C:BF,56,FALSE)</f>
        <v>3163.3636363636365</v>
      </c>
      <c r="L57" s="14">
        <v>10000</v>
      </c>
      <c r="M57" s="14">
        <f>VLOOKUP(D57,'[1]Inv Sem 23 pzas '!A:F,2,FALSE)</f>
        <v>0</v>
      </c>
      <c r="N57" s="14">
        <f>VLOOKUP(D57,'[1]Inv Sem 23 pzas '!A:F,3,FALSE)</f>
        <v>3000</v>
      </c>
      <c r="O57" s="14">
        <f>VLOOKUP(D57,'[1]Inv Sem 23 pzas '!A:F,4,FALSE)</f>
        <v>1521</v>
      </c>
      <c r="P57" s="14">
        <f>VLOOKUP(D57,'[1]Inv Sem 23 pzas '!A:F,5,FALSE)</f>
        <v>0</v>
      </c>
      <c r="Q57" s="14">
        <f>VLOOKUP(D57,'[1]Inv Sem 23 pzas '!A:F,6,FALSE)</f>
        <v>7000</v>
      </c>
      <c r="R57" s="13">
        <f t="shared" si="16"/>
        <v>21521</v>
      </c>
      <c r="S57" s="12">
        <f t="shared" si="17"/>
        <v>7028.7586000000001</v>
      </c>
      <c r="T57" s="11">
        <f t="shared" si="18"/>
        <v>0</v>
      </c>
      <c r="U57" s="11">
        <f t="shared" si="19"/>
        <v>0.94835761703595134</v>
      </c>
      <c r="V57" s="11">
        <f t="shared" si="20"/>
        <v>0.48081731183722731</v>
      </c>
      <c r="W57" s="11">
        <f t="shared" si="21"/>
        <v>0</v>
      </c>
      <c r="X57" s="11">
        <f t="shared" si="22"/>
        <v>2.2128344397505533</v>
      </c>
      <c r="Y57" s="11">
        <f t="shared" si="23"/>
        <v>3.1611920567865046</v>
      </c>
      <c r="Z57" s="9">
        <f t="shared" si="24"/>
        <v>6.8032014254102364</v>
      </c>
      <c r="AA57" s="9">
        <f t="shared" si="25"/>
        <v>2.2857142857142856</v>
      </c>
      <c r="AB57" s="10">
        <f t="shared" si="26"/>
        <v>2361.4961454545455</v>
      </c>
      <c r="AC57" s="9">
        <f t="shared" si="27"/>
        <v>4.5174871396959508</v>
      </c>
      <c r="AD57" s="8">
        <f t="shared" si="28"/>
        <v>14290.454545454546</v>
      </c>
      <c r="AE57" s="7">
        <f t="shared" si="29"/>
        <v>4667.2624545454546</v>
      </c>
    </row>
    <row r="58" spans="1:31" x14ac:dyDescent="0.25">
      <c r="A58" s="22">
        <f t="shared" ca="1" si="15"/>
        <v>46182</v>
      </c>
      <c r="B58" s="21" t="s">
        <v>2</v>
      </c>
      <c r="C58" s="20" t="s">
        <v>1</v>
      </c>
      <c r="D58" s="4" t="s">
        <v>106</v>
      </c>
      <c r="E58" s="3" t="str">
        <f>VLOOKUP(D58,'[1]ANALISIS (NEW)'!C:E,3,FALSE)</f>
        <v>BRKT/CLIP-A/C LINE</v>
      </c>
      <c r="F58" s="19" t="str">
        <f>VLOOKUP(D58,'[1]ANALISIS (NEW)'!C:AX,48,FALSE)</f>
        <v>PRECISE TOOL &amp; DIE LIMIT</v>
      </c>
      <c r="G58" s="15" t="str">
        <f>VLOOKUP(D:D,'[1]ANALISIS (NEW)'!C:BY,75,FALSE)</f>
        <v>EA</v>
      </c>
      <c r="H58" s="18" t="str">
        <f>VLOOKUP(D58,'[1]ANALISIS (NEW)'!C:BF,49,FALSE)</f>
        <v xml:space="preserve">CA </v>
      </c>
      <c r="I58" s="17">
        <f>VLOOKUP(D58,'[1]ANALISIS (NEW)'!C:BF,50,FALSE)</f>
        <v>11</v>
      </c>
      <c r="J58" s="16">
        <f>VLOOKUP(D58,'[1]ANALISIS (NEW)'!C:BG,57,FALSE)</f>
        <v>0.84020000000000006</v>
      </c>
      <c r="K58" s="15">
        <f>VLOOKUP(D58,'[1]ANALISIS (NEW)'!C:BF,56,FALSE)</f>
        <v>1</v>
      </c>
      <c r="L58" s="14">
        <v>0</v>
      </c>
      <c r="M58" s="14">
        <f>VLOOKUP(D58,'[1]Inv Sem 23 pzas '!A:F,2,FALSE)</f>
        <v>0</v>
      </c>
      <c r="N58" s="14">
        <f>VLOOKUP(D58,'[1]Inv Sem 23 pzas '!A:F,3,FALSE)</f>
        <v>0</v>
      </c>
      <c r="O58" s="14">
        <f>VLOOKUP(D58,'[1]Inv Sem 23 pzas '!A:F,4,FALSE)</f>
        <v>30</v>
      </c>
      <c r="P58" s="14">
        <f>VLOOKUP(D58,'[1]Inv Sem 23 pzas '!A:F,5,FALSE)</f>
        <v>0</v>
      </c>
      <c r="Q58" s="14">
        <f>VLOOKUP(D58,'[1]Inv Sem 23 pzas '!A:F,6,FALSE)</f>
        <v>5458</v>
      </c>
      <c r="R58" s="13">
        <f t="shared" si="16"/>
        <v>5488</v>
      </c>
      <c r="S58" s="12">
        <f t="shared" si="17"/>
        <v>4611.0176000000001</v>
      </c>
      <c r="T58" s="11">
        <f t="shared" si="18"/>
        <v>0</v>
      </c>
      <c r="U58" s="11">
        <f t="shared" si="19"/>
        <v>0</v>
      </c>
      <c r="V58" s="11">
        <f t="shared" si="20"/>
        <v>30</v>
      </c>
      <c r="W58" s="11">
        <f t="shared" si="21"/>
        <v>0</v>
      </c>
      <c r="X58" s="11">
        <f t="shared" si="22"/>
        <v>5458</v>
      </c>
      <c r="Y58" s="11">
        <f t="shared" si="23"/>
        <v>0</v>
      </c>
      <c r="Z58" s="9">
        <f t="shared" si="24"/>
        <v>5488</v>
      </c>
      <c r="AA58" s="9">
        <f t="shared" si="25"/>
        <v>2.5714285714285716</v>
      </c>
      <c r="AB58" s="10">
        <f t="shared" si="26"/>
        <v>2.1605142857142861</v>
      </c>
      <c r="AC58" s="9">
        <f t="shared" si="27"/>
        <v>5485.4285714285716</v>
      </c>
      <c r="AD58" s="8">
        <f t="shared" si="28"/>
        <v>5485.4285714285716</v>
      </c>
      <c r="AE58" s="7">
        <f t="shared" si="29"/>
        <v>4608.8570857142859</v>
      </c>
    </row>
    <row r="59" spans="1:31" x14ac:dyDescent="0.25">
      <c r="A59" s="22">
        <f t="shared" ca="1" si="15"/>
        <v>46182</v>
      </c>
      <c r="B59" s="21" t="s">
        <v>2</v>
      </c>
      <c r="C59" s="20" t="s">
        <v>1</v>
      </c>
      <c r="D59" s="4" t="s">
        <v>105</v>
      </c>
      <c r="E59" s="3" t="str">
        <f>VLOOKUP(D59,'[1]ANALISIS (NEW)'!C:E,3,FALSE)</f>
        <v>Bracket/Clip - A/C Line</v>
      </c>
      <c r="F59" s="19" t="str">
        <f>VLOOKUP(D59,'[1]ANALISIS (NEW)'!C:AX,48,FALSE)</f>
        <v>DEXTER STAMPING COMPANY</v>
      </c>
      <c r="G59" s="15" t="str">
        <f>VLOOKUP(D:D,'[1]ANALISIS (NEW)'!C:BY,75,FALSE)</f>
        <v>EA</v>
      </c>
      <c r="H59" s="18" t="str">
        <f>VLOOKUP(D59,'[1]ANALISIS (NEW)'!C:BF,49,FALSE)</f>
        <v xml:space="preserve">US </v>
      </c>
      <c r="I59" s="17">
        <f>VLOOKUP(D59,'[1]ANALISIS (NEW)'!C:BF,50,FALSE)</f>
        <v>9</v>
      </c>
      <c r="J59" s="16">
        <f>VLOOKUP(D59,'[1]ANALISIS (NEW)'!C:BG,57,FALSE)</f>
        <v>0.44439999999999996</v>
      </c>
      <c r="K59" s="15">
        <f>VLOOKUP(D59,'[1]ANALISIS (NEW)'!C:BF,56,FALSE)</f>
        <v>1284.090909090909</v>
      </c>
      <c r="L59" s="14">
        <v>0</v>
      </c>
      <c r="M59" s="14">
        <f>VLOOKUP(D59,'[1]Inv Sem 23 pzas '!A:F,2,FALSE)</f>
        <v>0</v>
      </c>
      <c r="N59" s="14">
        <f>VLOOKUP(D59,'[1]Inv Sem 23 pzas '!A:F,3,FALSE)</f>
        <v>0</v>
      </c>
      <c r="O59" s="14">
        <f>VLOOKUP(D59,'[1]Inv Sem 23 pzas '!A:F,4,FALSE)</f>
        <v>1834</v>
      </c>
      <c r="P59" s="14">
        <f>VLOOKUP(D59,'[1]Inv Sem 23 pzas '!A:F,5,FALSE)</f>
        <v>0</v>
      </c>
      <c r="Q59" s="14">
        <f>VLOOKUP(D59,'[1]Inv Sem 23 pzas '!A:F,6,FALSE)</f>
        <v>11000</v>
      </c>
      <c r="R59" s="13">
        <f t="shared" si="16"/>
        <v>12834</v>
      </c>
      <c r="S59" s="12">
        <f t="shared" si="17"/>
        <v>5703.4295999999995</v>
      </c>
      <c r="T59" s="11">
        <f t="shared" si="18"/>
        <v>0</v>
      </c>
      <c r="U59" s="11">
        <f t="shared" si="19"/>
        <v>0</v>
      </c>
      <c r="V59" s="11">
        <f t="shared" si="20"/>
        <v>1.4282477876106197</v>
      </c>
      <c r="W59" s="11">
        <f t="shared" si="21"/>
        <v>0</v>
      </c>
      <c r="X59" s="11">
        <f t="shared" si="22"/>
        <v>8.5663716814159301</v>
      </c>
      <c r="Y59" s="11">
        <f t="shared" si="23"/>
        <v>0</v>
      </c>
      <c r="Z59" s="9">
        <f t="shared" si="24"/>
        <v>9.9946194690265493</v>
      </c>
      <c r="AA59" s="9">
        <f t="shared" si="25"/>
        <v>2.2857142857142856</v>
      </c>
      <c r="AB59" s="10">
        <f t="shared" si="26"/>
        <v>1304.3428571428569</v>
      </c>
      <c r="AC59" s="9">
        <f t="shared" si="27"/>
        <v>7.7089051833122637</v>
      </c>
      <c r="AD59" s="8">
        <f t="shared" si="28"/>
        <v>9898.9350649350654</v>
      </c>
      <c r="AE59" s="7">
        <f t="shared" si="29"/>
        <v>4399.0867428571428</v>
      </c>
    </row>
    <row r="60" spans="1:31" x14ac:dyDescent="0.25">
      <c r="A60" s="22">
        <f t="shared" ca="1" si="15"/>
        <v>46182</v>
      </c>
      <c r="B60" s="21" t="s">
        <v>2</v>
      </c>
      <c r="C60" s="20" t="s">
        <v>1</v>
      </c>
      <c r="D60" s="4" t="s">
        <v>104</v>
      </c>
      <c r="E60" s="3" t="str">
        <f>VLOOKUP(D60,'[1]ANALISIS (NEW)'!C:E,3,FALSE)</f>
        <v>Shrink Sleeve</v>
      </c>
      <c r="F60" s="19" t="str">
        <f>VLOOKUP(D60,'[1]ANALISIS (NEW)'!C:AX,48,FALSE)</f>
        <v>TE CONNECTIVITY</v>
      </c>
      <c r="G60" s="15" t="str">
        <f>VLOOKUP(D:D,'[1]ANALISIS (NEW)'!C:BY,75,FALSE)</f>
        <v>MM</v>
      </c>
      <c r="H60" s="18" t="str">
        <f>VLOOKUP(D60,'[1]ANALISIS (NEW)'!C:BF,49,FALSE)</f>
        <v xml:space="preserve">US </v>
      </c>
      <c r="I60" s="17">
        <f>VLOOKUP(D60,'[1]ANALISIS (NEW)'!C:BF,50,FALSE)</f>
        <v>9</v>
      </c>
      <c r="J60" s="16">
        <f>VLOOKUP(D60,'[1]ANALISIS (NEW)'!C:BG,57,FALSE)*1000</f>
        <v>1.88</v>
      </c>
      <c r="K60" s="15">
        <f>VLOOKUP(D60,'[1]ANALISIS (NEW)'!C:BF,56,FALSE)</f>
        <v>2480.2247272727273</v>
      </c>
      <c r="L60" s="14">
        <v>4500</v>
      </c>
      <c r="M60" s="14">
        <f>VLOOKUP(D60,'[1]Inv Sem 23 pzas '!A:F,2,FALSE)/1000</f>
        <v>0</v>
      </c>
      <c r="N60" s="14">
        <f>VLOOKUP(D60,'[1]Inv Sem 23 pzas '!A:F,3,FALSE)/1000</f>
        <v>0</v>
      </c>
      <c r="O60" s="14">
        <f>VLOOKUP(D60,'[1]Inv Sem 23 pzas '!A:F,4,FALSE)/1000</f>
        <v>1421.31</v>
      </c>
      <c r="P60" s="14">
        <f>VLOOKUP(D60,'[1]Inv Sem 23 pzas '!A:F,5,FALSE)</f>
        <v>0</v>
      </c>
      <c r="Q60" s="14">
        <f>VLOOKUP(D60,'[1]Inv Sem 23 pzas '!A:F,6,FALSE)/1000</f>
        <v>1950</v>
      </c>
      <c r="R60" s="13">
        <f t="shared" si="16"/>
        <v>7871.3099999999995</v>
      </c>
      <c r="S60" s="12">
        <f t="shared" si="17"/>
        <v>14798.062799999998</v>
      </c>
      <c r="T60" s="11">
        <f t="shared" si="18"/>
        <v>0</v>
      </c>
      <c r="U60" s="11">
        <f t="shared" si="19"/>
        <v>0</v>
      </c>
      <c r="V60" s="11">
        <f t="shared" si="20"/>
        <v>0.57305694293391007</v>
      </c>
      <c r="W60" s="11">
        <f t="shared" si="21"/>
        <v>0</v>
      </c>
      <c r="X60" s="11">
        <f t="shared" si="22"/>
        <v>0.78621907868172647</v>
      </c>
      <c r="Y60" s="11">
        <f t="shared" si="23"/>
        <v>1.8143517200347534</v>
      </c>
      <c r="Z60" s="9">
        <f t="shared" si="24"/>
        <v>3.1736277416503897</v>
      </c>
      <c r="AA60" s="9">
        <f t="shared" si="25"/>
        <v>2.2857142857142856</v>
      </c>
      <c r="AB60" s="10">
        <f t="shared" si="26"/>
        <v>10657.879970909089</v>
      </c>
      <c r="AC60" s="9">
        <f t="shared" si="27"/>
        <v>0.88791345593610416</v>
      </c>
      <c r="AD60" s="8">
        <f t="shared" si="28"/>
        <v>2202.2249090909086</v>
      </c>
      <c r="AE60" s="7">
        <f t="shared" si="29"/>
        <v>4140.1828290909079</v>
      </c>
    </row>
    <row r="61" spans="1:31" x14ac:dyDescent="0.25">
      <c r="A61" s="22">
        <f t="shared" ca="1" si="15"/>
        <v>46182</v>
      </c>
      <c r="B61" s="21" t="s">
        <v>2</v>
      </c>
      <c r="C61" s="20" t="s">
        <v>1</v>
      </c>
      <c r="D61" s="4" t="s">
        <v>103</v>
      </c>
      <c r="E61" s="3" t="str">
        <f>VLOOKUP(D61,'[1]ANALISIS (NEW)'!C:E,3,FALSE)</f>
        <v>HOSE-A/C FORMED-BARRIER GALAXY 4898 13/3</v>
      </c>
      <c r="F61" s="19" t="str">
        <f>VLOOKUP(D61,'[1]ANALISIS (NEW)'!C:AX,48,FALSE)</f>
        <v>CONTITECH NORTH AMERICA,</v>
      </c>
      <c r="G61" s="15" t="str">
        <f>VLOOKUP(D:D,'[1]ANALISIS (NEW)'!C:BY,75,FALSE)</f>
        <v>EA</v>
      </c>
      <c r="H61" s="18" t="str">
        <f>VLOOKUP(D61,'[1]ANALISIS (NEW)'!C:BF,49,FALSE)</f>
        <v xml:space="preserve">US </v>
      </c>
      <c r="I61" s="17">
        <f>VLOOKUP(D61,'[1]ANALISIS (NEW)'!C:BF,50,FALSE)</f>
        <v>9</v>
      </c>
      <c r="J61" s="16">
        <f>VLOOKUP(D61,'[1]ANALISIS (NEW)'!C:BG,57,FALSE)</f>
        <v>2.63</v>
      </c>
      <c r="K61" s="15">
        <f>VLOOKUP(D61,'[1]ANALISIS (NEW)'!C:BF,56,FALSE)</f>
        <v>349.09090909090907</v>
      </c>
      <c r="L61" s="14">
        <v>0</v>
      </c>
      <c r="M61" s="14">
        <f>VLOOKUP(D61,'[1]Inv Sem 23 pzas '!A:F,2,FALSE)</f>
        <v>0</v>
      </c>
      <c r="N61" s="14">
        <f>VLOOKUP(D61,'[1]Inv Sem 23 pzas '!A:F,3,FALSE)</f>
        <v>0</v>
      </c>
      <c r="O61" s="14">
        <f>VLOOKUP(D61,'[1]Inv Sem 23 pzas '!A:F,4,FALSE)</f>
        <v>656</v>
      </c>
      <c r="P61" s="14">
        <f>VLOOKUP(D61,'[1]Inv Sem 23 pzas '!A:F,5,FALSE)</f>
        <v>0</v>
      </c>
      <c r="Q61" s="14">
        <f>VLOOKUP(D61,'[1]Inv Sem 23 pzas '!A:F,6,FALSE)</f>
        <v>1700</v>
      </c>
      <c r="R61" s="13">
        <f t="shared" si="16"/>
        <v>2356</v>
      </c>
      <c r="S61" s="12">
        <f t="shared" si="17"/>
        <v>6196.28</v>
      </c>
      <c r="T61" s="11">
        <f t="shared" si="18"/>
        <v>0</v>
      </c>
      <c r="U61" s="11">
        <f t="shared" si="19"/>
        <v>0</v>
      </c>
      <c r="V61" s="11">
        <f t="shared" si="20"/>
        <v>1.8791666666666669</v>
      </c>
      <c r="W61" s="11">
        <f t="shared" si="21"/>
        <v>0</v>
      </c>
      <c r="X61" s="11">
        <f t="shared" si="22"/>
        <v>4.869791666666667</v>
      </c>
      <c r="Y61" s="11">
        <f t="shared" si="23"/>
        <v>0</v>
      </c>
      <c r="Z61" s="9">
        <f t="shared" si="24"/>
        <v>6.7489583333333343</v>
      </c>
      <c r="AA61" s="9">
        <f t="shared" si="25"/>
        <v>2.2857142857142856</v>
      </c>
      <c r="AB61" s="10">
        <f t="shared" si="26"/>
        <v>2098.5350649350648</v>
      </c>
      <c r="AC61" s="9">
        <f t="shared" si="27"/>
        <v>4.4632440476190487</v>
      </c>
      <c r="AD61" s="8">
        <f t="shared" si="28"/>
        <v>1558.0779220779223</v>
      </c>
      <c r="AE61" s="7">
        <f t="shared" si="29"/>
        <v>4097.7449350649358</v>
      </c>
    </row>
    <row r="62" spans="1:31" x14ac:dyDescent="0.25">
      <c r="A62" s="22">
        <f t="shared" ca="1" si="15"/>
        <v>46182</v>
      </c>
      <c r="B62" s="21" t="s">
        <v>2</v>
      </c>
      <c r="C62" s="20" t="s">
        <v>1</v>
      </c>
      <c r="D62" s="4" t="s">
        <v>102</v>
      </c>
      <c r="E62" s="3" t="str">
        <f>VLOOKUP(D62,'[1]ANALISIS (NEW)'!C:E,3,FALSE)</f>
        <v>Label - A/C 3M 7874 Orange (PANTONE</v>
      </c>
      <c r="F62" s="19" t="str">
        <f>VLOOKUP(D62,'[1]ANALISIS (NEW)'!C:AX,48,FALSE)</f>
        <v>GENERAL LABELS AND PRINT</v>
      </c>
      <c r="G62" s="15" t="str">
        <f>VLOOKUP(D:D,'[1]ANALISIS (NEW)'!C:BY,75,FALSE)</f>
        <v>EA</v>
      </c>
      <c r="H62" s="18" t="str">
        <f>VLOOKUP(D62,'[1]ANALISIS (NEW)'!C:BF,49,FALSE)</f>
        <v xml:space="preserve">US </v>
      </c>
      <c r="I62" s="17">
        <f>VLOOKUP(D62,'[1]ANALISIS (NEW)'!C:BF,50,FALSE)</f>
        <v>9</v>
      </c>
      <c r="J62" s="16">
        <f>VLOOKUP(D62,'[1]ANALISIS (NEW)'!C:BG,57,FALSE)</f>
        <v>5.4380000000000005E-2</v>
      </c>
      <c r="K62" s="15">
        <f>VLOOKUP(D62,'[1]ANALISIS (NEW)'!C:BF,56,FALSE)</f>
        <v>20242.090909090908</v>
      </c>
      <c r="L62" s="14">
        <v>0</v>
      </c>
      <c r="M62" s="14">
        <f>VLOOKUP(D62,'[1]Inv Sem 23 pzas '!A:F,2,FALSE)</f>
        <v>0</v>
      </c>
      <c r="N62" s="14">
        <f>VLOOKUP(D62,'[1]Inv Sem 23 pzas '!A:F,3,FALSE)</f>
        <v>0</v>
      </c>
      <c r="O62" s="14">
        <f>VLOOKUP(D62,'[1]Inv Sem 23 pzas '!A:F,4,FALSE)</f>
        <v>33019</v>
      </c>
      <c r="P62" s="14">
        <f>VLOOKUP(D62,'[1]Inv Sem 23 pzas '!A:F,5,FALSE)</f>
        <v>0</v>
      </c>
      <c r="Q62" s="14">
        <f>VLOOKUP(D62,'[1]Inv Sem 23 pzas '!A:F,6,FALSE)</f>
        <v>86000</v>
      </c>
      <c r="R62" s="13">
        <f t="shared" si="16"/>
        <v>119019</v>
      </c>
      <c r="S62" s="12">
        <f t="shared" si="17"/>
        <v>6472.2532200000005</v>
      </c>
      <c r="T62" s="11">
        <f t="shared" si="18"/>
        <v>0</v>
      </c>
      <c r="U62" s="11">
        <f t="shared" si="19"/>
        <v>0</v>
      </c>
      <c r="V62" s="11">
        <f t="shared" si="20"/>
        <v>1.6312050048728348</v>
      </c>
      <c r="W62" s="11">
        <f t="shared" si="21"/>
        <v>0</v>
      </c>
      <c r="X62" s="11">
        <f t="shared" si="22"/>
        <v>4.2485729555426817</v>
      </c>
      <c r="Y62" s="11">
        <f t="shared" si="23"/>
        <v>0</v>
      </c>
      <c r="Z62" s="9">
        <f t="shared" si="24"/>
        <v>5.8797779604155167</v>
      </c>
      <c r="AA62" s="9">
        <f t="shared" si="25"/>
        <v>2.2857142857142856</v>
      </c>
      <c r="AB62" s="10">
        <f t="shared" si="26"/>
        <v>2516.0340654545453</v>
      </c>
      <c r="AC62" s="9">
        <f t="shared" si="27"/>
        <v>3.5940636747012311</v>
      </c>
      <c r="AD62" s="8">
        <f t="shared" si="28"/>
        <v>72751.363636363647</v>
      </c>
      <c r="AE62" s="7">
        <f t="shared" si="29"/>
        <v>3956.2191545454552</v>
      </c>
    </row>
    <row r="63" spans="1:31" x14ac:dyDescent="0.25">
      <c r="A63" s="22">
        <f t="shared" ca="1" si="15"/>
        <v>46182</v>
      </c>
      <c r="B63" s="21" t="s">
        <v>2</v>
      </c>
      <c r="C63" s="20" t="s">
        <v>1</v>
      </c>
      <c r="D63" s="4" t="s">
        <v>101</v>
      </c>
      <c r="E63" s="3" t="str">
        <f>VLOOKUP(D63,'[1]ANALISIS (NEW)'!C:E,3,FALSE)</f>
        <v>Label - A/C 3M 7871 White Thermal Po</v>
      </c>
      <c r="F63" s="19" t="str">
        <f>VLOOKUP(D63,'[1]ANALISIS (NEW)'!C:AX,48,FALSE)</f>
        <v>GENERAL LABELS AND PRINT</v>
      </c>
      <c r="G63" s="15" t="str">
        <f>VLOOKUP(D:D,'[1]ANALISIS (NEW)'!C:BY,75,FALSE)</f>
        <v>EA</v>
      </c>
      <c r="H63" s="18" t="str">
        <f>VLOOKUP(D63,'[1]ANALISIS (NEW)'!C:BF,49,FALSE)</f>
        <v xml:space="preserve">US </v>
      </c>
      <c r="I63" s="17">
        <f>VLOOKUP(D63,'[1]ANALISIS (NEW)'!C:BF,50,FALSE)</f>
        <v>9</v>
      </c>
      <c r="J63" s="16">
        <f>VLOOKUP(D63,'[1]ANALISIS (NEW)'!C:BG,57,FALSE)</f>
        <v>4.5010000000000001E-2</v>
      </c>
      <c r="K63" s="15">
        <f>VLOOKUP(D63,'[1]ANALISIS (NEW)'!C:BF,56,FALSE)</f>
        <v>359.09090909090907</v>
      </c>
      <c r="L63" s="14">
        <v>0</v>
      </c>
      <c r="M63" s="14">
        <f>VLOOKUP(D63,'[1]Inv Sem 23 pzas '!A:F,2,FALSE)</f>
        <v>0</v>
      </c>
      <c r="N63" s="14">
        <f>VLOOKUP(D63,'[1]Inv Sem 23 pzas '!A:F,3,FALSE)</f>
        <v>0</v>
      </c>
      <c r="O63" s="14">
        <f>VLOOKUP(D63,'[1]Inv Sem 23 pzas '!A:F,4,FALSE)</f>
        <v>13136</v>
      </c>
      <c r="P63" s="14">
        <f>VLOOKUP(D63,'[1]Inv Sem 23 pzas '!A:F,5,FALSE)</f>
        <v>0</v>
      </c>
      <c r="Q63" s="14">
        <f>VLOOKUP(D63,'[1]Inv Sem 23 pzas '!A:F,6,FALSE)</f>
        <v>73500</v>
      </c>
      <c r="R63" s="13">
        <f t="shared" si="16"/>
        <v>86636</v>
      </c>
      <c r="S63" s="12">
        <f t="shared" si="17"/>
        <v>3899.4863600000003</v>
      </c>
      <c r="T63" s="11">
        <f t="shared" si="18"/>
        <v>0</v>
      </c>
      <c r="U63" s="11">
        <f t="shared" si="19"/>
        <v>0</v>
      </c>
      <c r="V63" s="11">
        <f t="shared" si="20"/>
        <v>36.581265822784815</v>
      </c>
      <c r="W63" s="11">
        <f t="shared" si="21"/>
        <v>0</v>
      </c>
      <c r="X63" s="11">
        <f t="shared" si="22"/>
        <v>204.68354430379748</v>
      </c>
      <c r="Y63" s="11">
        <f t="shared" si="23"/>
        <v>0</v>
      </c>
      <c r="Z63" s="9">
        <f t="shared" si="24"/>
        <v>241.26481012658229</v>
      </c>
      <c r="AA63" s="9">
        <f t="shared" si="25"/>
        <v>2.2857142857142856</v>
      </c>
      <c r="AB63" s="10">
        <f t="shared" si="26"/>
        <v>36.943272727272721</v>
      </c>
      <c r="AC63" s="9">
        <f t="shared" si="27"/>
        <v>238.97909584086801</v>
      </c>
      <c r="AD63" s="8">
        <f t="shared" si="28"/>
        <v>85815.220779220777</v>
      </c>
      <c r="AE63" s="7">
        <f t="shared" si="29"/>
        <v>3862.5430872727275</v>
      </c>
    </row>
    <row r="64" spans="1:31" x14ac:dyDescent="0.25">
      <c r="A64" s="22">
        <f t="shared" ca="1" si="15"/>
        <v>46182</v>
      </c>
      <c r="B64" s="21" t="s">
        <v>2</v>
      </c>
      <c r="C64" s="20" t="s">
        <v>1</v>
      </c>
      <c r="D64" s="4" t="s">
        <v>100</v>
      </c>
      <c r="E64" s="3" t="str">
        <f>VLOOKUP(D64,'[1]ANALISIS (NEW)'!C:E,3,FALSE)</f>
        <v>STUD M8x1.25Px30L-M8x1.25x18L</v>
      </c>
      <c r="F64" s="19" t="str">
        <f>VLOOKUP(D64,'[1]ANALISIS (NEW)'!C:AX,48,FALSE)</f>
        <v>KAMAX INC.</v>
      </c>
      <c r="G64" s="15" t="str">
        <f>VLOOKUP(D:D,'[1]ANALISIS (NEW)'!C:BY,75,FALSE)</f>
        <v>EA</v>
      </c>
      <c r="H64" s="18" t="str">
        <f>VLOOKUP(D64,'[1]ANALISIS (NEW)'!C:BF,49,FALSE)</f>
        <v xml:space="preserve">US </v>
      </c>
      <c r="I64" s="17">
        <f>VLOOKUP(D64,'[1]ANALISIS (NEW)'!C:BF,50,FALSE)</f>
        <v>9</v>
      </c>
      <c r="J64" s="16">
        <f>VLOOKUP(D64,'[1]ANALISIS (NEW)'!C:BG,57,FALSE)</f>
        <v>0.17610000000000001</v>
      </c>
      <c r="K64" s="15">
        <f>VLOOKUP(D64,'[1]ANALISIS (NEW)'!C:BF,56,FALSE)</f>
        <v>7070</v>
      </c>
      <c r="L64" s="14">
        <v>22100</v>
      </c>
      <c r="M64" s="14">
        <f>VLOOKUP(D64,'[1]Inv Sem 23 pzas '!A:F,2,FALSE)</f>
        <v>0</v>
      </c>
      <c r="N64" s="14">
        <f>VLOOKUP(D64,'[1]Inv Sem 23 pzas '!A:F,3,FALSE)</f>
        <v>0</v>
      </c>
      <c r="O64" s="14">
        <f>VLOOKUP(D64,'[1]Inv Sem 23 pzas '!A:F,4,FALSE)</f>
        <v>293</v>
      </c>
      <c r="P64" s="14">
        <f>VLOOKUP(D64,'[1]Inv Sem 23 pzas '!A:F,5,FALSE)</f>
        <v>0</v>
      </c>
      <c r="Q64" s="14">
        <f>VLOOKUP(D64,'[1]Inv Sem 23 pzas '!A:F,6,FALSE)</f>
        <v>14950</v>
      </c>
      <c r="R64" s="13">
        <f t="shared" si="16"/>
        <v>37343</v>
      </c>
      <c r="S64" s="12">
        <f t="shared" si="17"/>
        <v>6576.1023000000005</v>
      </c>
      <c r="T64" s="11">
        <f t="shared" si="18"/>
        <v>0</v>
      </c>
      <c r="U64" s="11">
        <f t="shared" si="19"/>
        <v>0</v>
      </c>
      <c r="V64" s="11">
        <f t="shared" si="20"/>
        <v>4.1442715700141443E-2</v>
      </c>
      <c r="W64" s="11">
        <f t="shared" si="21"/>
        <v>0</v>
      </c>
      <c r="X64" s="11">
        <f t="shared" si="22"/>
        <v>2.1145685997171144</v>
      </c>
      <c r="Y64" s="11">
        <f t="shared" si="23"/>
        <v>3.1258840169731257</v>
      </c>
      <c r="Z64" s="9">
        <f t="shared" si="24"/>
        <v>5.2818953323903814</v>
      </c>
      <c r="AA64" s="9">
        <f t="shared" si="25"/>
        <v>2.2857142857142856</v>
      </c>
      <c r="AB64" s="10">
        <f t="shared" si="26"/>
        <v>2845.7760000000003</v>
      </c>
      <c r="AC64" s="9">
        <f t="shared" si="27"/>
        <v>2.9961810466760959</v>
      </c>
      <c r="AD64" s="8">
        <f t="shared" si="28"/>
        <v>21182.999999999996</v>
      </c>
      <c r="AE64" s="7">
        <f t="shared" si="29"/>
        <v>3730.3262999999997</v>
      </c>
    </row>
    <row r="65" spans="1:31" x14ac:dyDescent="0.25">
      <c r="A65" s="22">
        <f t="shared" ca="1" si="15"/>
        <v>46182</v>
      </c>
      <c r="B65" s="21" t="s">
        <v>2</v>
      </c>
      <c r="C65" s="20" t="s">
        <v>1</v>
      </c>
      <c r="D65" s="4" t="s">
        <v>99</v>
      </c>
      <c r="E65" s="3" t="str">
        <f>VLOOKUP(D65,'[1]ANALISIS (NEW)'!C:E,3,FALSE)</f>
        <v>HOSE-A/C FORMED-BARRIER GALAXY 3/4 4868</v>
      </c>
      <c r="F65" s="19" t="str">
        <f>VLOOKUP(D65,'[1]ANALISIS (NEW)'!C:AX,48,FALSE)</f>
        <v>CONTITECH NORTH AMERICA,</v>
      </c>
      <c r="G65" s="15" t="str">
        <f>VLOOKUP(D:D,'[1]ANALISIS (NEW)'!C:BY,75,FALSE)</f>
        <v>EA</v>
      </c>
      <c r="H65" s="18" t="str">
        <f>VLOOKUP(D65,'[1]ANALISIS (NEW)'!C:BF,49,FALSE)</f>
        <v xml:space="preserve">US </v>
      </c>
      <c r="I65" s="17">
        <f>VLOOKUP(D65,'[1]ANALISIS (NEW)'!C:BF,50,FALSE)</f>
        <v>9</v>
      </c>
      <c r="J65" s="16">
        <f>VLOOKUP(D65,'[1]ANALISIS (NEW)'!C:BG,57,FALSE)</f>
        <v>3.5289999999999999</v>
      </c>
      <c r="K65" s="15">
        <f>VLOOKUP(D65,'[1]ANALISIS (NEW)'!C:BF,56,FALSE)</f>
        <v>1387.090909090909</v>
      </c>
      <c r="L65" s="14">
        <v>0</v>
      </c>
      <c r="M65" s="14">
        <f>VLOOKUP(D65,'[1]Inv Sem 23 pzas '!A:F,2,FALSE)</f>
        <v>0</v>
      </c>
      <c r="N65" s="14">
        <f>VLOOKUP(D65,'[1]Inv Sem 23 pzas '!A:F,3,FALSE)</f>
        <v>0</v>
      </c>
      <c r="O65" s="14">
        <f>VLOOKUP(D65,'[1]Inv Sem 23 pzas '!A:F,4,FALSE)</f>
        <v>709</v>
      </c>
      <c r="P65" s="14">
        <f>VLOOKUP(D65,'[1]Inv Sem 23 pzas '!A:F,5,FALSE)</f>
        <v>0</v>
      </c>
      <c r="Q65" s="14">
        <f>VLOOKUP(D65,'[1]Inv Sem 23 pzas '!A:F,6,FALSE)</f>
        <v>3500</v>
      </c>
      <c r="R65" s="13">
        <f t="shared" si="16"/>
        <v>4209</v>
      </c>
      <c r="S65" s="12">
        <f t="shared" si="17"/>
        <v>14853.561</v>
      </c>
      <c r="T65" s="11">
        <f t="shared" si="18"/>
        <v>0</v>
      </c>
      <c r="U65" s="11">
        <f t="shared" si="19"/>
        <v>0</v>
      </c>
      <c r="V65" s="11">
        <f t="shared" si="20"/>
        <v>0.51114169615939187</v>
      </c>
      <c r="W65" s="11">
        <f t="shared" si="21"/>
        <v>0</v>
      </c>
      <c r="X65" s="11">
        <f t="shared" si="22"/>
        <v>2.5232664831563771</v>
      </c>
      <c r="Y65" s="11">
        <f t="shared" si="23"/>
        <v>0</v>
      </c>
      <c r="Z65" s="9">
        <f t="shared" si="24"/>
        <v>3.0344081793157689</v>
      </c>
      <c r="AA65" s="9">
        <f t="shared" si="25"/>
        <v>2.2857142857142856</v>
      </c>
      <c r="AB65" s="10">
        <f t="shared" si="26"/>
        <v>11188.671584415582</v>
      </c>
      <c r="AC65" s="9">
        <f t="shared" si="27"/>
        <v>0.74869389360148331</v>
      </c>
      <c r="AD65" s="8">
        <f t="shared" si="28"/>
        <v>1038.5064935064938</v>
      </c>
      <c r="AE65" s="7">
        <f t="shared" si="29"/>
        <v>3664.8894155844168</v>
      </c>
    </row>
    <row r="66" spans="1:31" x14ac:dyDescent="0.25">
      <c r="A66" s="22">
        <f t="shared" ref="A66:A97" ca="1" si="30">TODAY()</f>
        <v>46182</v>
      </c>
      <c r="B66" s="21" t="s">
        <v>2</v>
      </c>
      <c r="C66" s="20" t="s">
        <v>1</v>
      </c>
      <c r="D66" s="4" t="s">
        <v>98</v>
      </c>
      <c r="E66" s="3" t="str">
        <f>VLOOKUP(D66,'[1]ANALISIS (NEW)'!C:E,3,FALSE)</f>
        <v>HOSE-A/C FORMED-BARRIER-GALAXY 13/32" 4</v>
      </c>
      <c r="F66" s="19" t="str">
        <f>VLOOKUP(D66,'[1]ANALISIS (NEW)'!C:AX,48,FALSE)</f>
        <v>CONTITECH NORTH AMERICA,</v>
      </c>
      <c r="G66" s="15" t="str">
        <f>VLOOKUP(D:D,'[1]ANALISIS (NEW)'!C:BY,75,FALSE)</f>
        <v>EA</v>
      </c>
      <c r="H66" s="18" t="str">
        <f>VLOOKUP(D66,'[1]ANALISIS (NEW)'!C:BF,49,FALSE)</f>
        <v xml:space="preserve">US </v>
      </c>
      <c r="I66" s="17">
        <f>VLOOKUP(D66,'[1]ANALISIS (NEW)'!C:BF,50,FALSE)</f>
        <v>9</v>
      </c>
      <c r="J66" s="16">
        <f>VLOOKUP(D66,'[1]ANALISIS (NEW)'!C:BG,57,FALSE)</f>
        <v>2.11</v>
      </c>
      <c r="K66" s="15">
        <f>VLOOKUP(D66,'[1]ANALISIS (NEW)'!C:BF,56,FALSE)</f>
        <v>1361.4545454545455</v>
      </c>
      <c r="L66" s="14">
        <v>0</v>
      </c>
      <c r="M66" s="14">
        <f>VLOOKUP(D66,'[1]Inv Sem 23 pzas '!A:F,2,FALSE)</f>
        <v>0</v>
      </c>
      <c r="N66" s="14">
        <f>VLOOKUP(D66,'[1]Inv Sem 23 pzas '!A:F,3,FALSE)</f>
        <v>0</v>
      </c>
      <c r="O66" s="14">
        <f>VLOOKUP(D66,'[1]Inv Sem 23 pzas '!A:F,4,FALSE)</f>
        <v>231</v>
      </c>
      <c r="P66" s="14">
        <f>VLOOKUP(D66,'[1]Inv Sem 23 pzas '!A:F,5,FALSE)</f>
        <v>0</v>
      </c>
      <c r="Q66" s="14">
        <f>VLOOKUP(D66,'[1]Inv Sem 23 pzas '!A:F,6,FALSE)</f>
        <v>4600</v>
      </c>
      <c r="R66" s="13">
        <f t="shared" ref="R66:R97" si="31">SUM(L66:Q66)</f>
        <v>4831</v>
      </c>
      <c r="S66" s="12">
        <f t="shared" ref="S66:S97" si="32">J66*R66</f>
        <v>10193.41</v>
      </c>
      <c r="T66" s="11">
        <f t="shared" ref="T66:T97" si="33">IFERROR(M66/K66,0)</f>
        <v>0</v>
      </c>
      <c r="U66" s="11">
        <f t="shared" ref="U66:U97" si="34">IFERROR(N66/K66,0)</f>
        <v>0</v>
      </c>
      <c r="V66" s="11">
        <f t="shared" ref="V66:V97" si="35">IFERROR(O66/K66,0)</f>
        <v>0.16967147435897437</v>
      </c>
      <c r="W66" s="11">
        <f t="shared" ref="W66:W97" si="36">IFERROR(P66/K66,0)</f>
        <v>0</v>
      </c>
      <c r="X66" s="11">
        <f t="shared" ref="X66:X97" si="37">IFERROR(Q66/K66,0)</f>
        <v>3.378739316239316</v>
      </c>
      <c r="Y66" s="11">
        <f t="shared" ref="Y66:Y97" si="38">L66/K66</f>
        <v>0</v>
      </c>
      <c r="Z66" s="9">
        <f t="shared" ref="Z66:Z97" si="39">SUM(T66:Y66)</f>
        <v>3.5484107905982905</v>
      </c>
      <c r="AA66" s="9">
        <f t="shared" ref="AA66:AA97" si="40">(I66+7)/7</f>
        <v>2.2857142857142856</v>
      </c>
      <c r="AB66" s="10">
        <f t="shared" ref="AB66:AB97" si="41">AA66*K66*J66</f>
        <v>6566.1007792207783</v>
      </c>
      <c r="AC66" s="9">
        <f t="shared" ref="AC66:AC97" si="42">Z66-AA66</f>
        <v>1.2626965048840049</v>
      </c>
      <c r="AD66" s="8">
        <f t="shared" ref="AD66:AD97" si="43">AC66*K66</f>
        <v>1719.1038961038962</v>
      </c>
      <c r="AE66" s="7">
        <f t="shared" ref="AE66:AE97" si="44">AD66*J66</f>
        <v>3627.3092207792206</v>
      </c>
    </row>
    <row r="67" spans="1:31" x14ac:dyDescent="0.25">
      <c r="A67" s="22">
        <f t="shared" ca="1" si="30"/>
        <v>46182</v>
      </c>
      <c r="B67" s="21" t="s">
        <v>2</v>
      </c>
      <c r="C67" s="20" t="s">
        <v>1</v>
      </c>
      <c r="D67" s="4" t="s">
        <v>97</v>
      </c>
      <c r="E67" s="3" t="str">
        <f>VLOOKUP(D67,'[1]ANALISIS (NEW)'!C:E,3,FALSE)</f>
        <v>O-RING FLUID TRANSPORT</v>
      </c>
      <c r="F67" s="19" t="str">
        <f>VLOOKUP(D67,'[1]ANALISIS (NEW)'!C:AX,48,FALSE)</f>
        <v>TRELLEBORG SEALING SOLUT</v>
      </c>
      <c r="G67" s="15" t="str">
        <f>VLOOKUP(D:D,'[1]ANALISIS (NEW)'!C:BY,75,FALSE)</f>
        <v>EA</v>
      </c>
      <c r="H67" s="18" t="str">
        <f>VLOOKUP(D67,'[1]ANALISIS (NEW)'!C:BF,49,FALSE)</f>
        <v xml:space="preserve">US </v>
      </c>
      <c r="I67" s="17">
        <f>VLOOKUP(D67,'[1]ANALISIS (NEW)'!C:BF,50,FALSE)</f>
        <v>9</v>
      </c>
      <c r="J67" s="16">
        <f>VLOOKUP(D67,'[1]ANALISIS (NEW)'!C:BG,57,FALSE)</f>
        <v>3.2000000000000001E-2</v>
      </c>
      <c r="K67" s="15">
        <f>VLOOKUP(D67,'[1]ANALISIS (NEW)'!C:BF,56,FALSE)+0.1</f>
        <v>815.37272727272727</v>
      </c>
      <c r="L67" s="14">
        <v>0</v>
      </c>
      <c r="M67" s="14">
        <f>VLOOKUP(D67,'[1]Inv Sem 23 pzas '!A:F,2,FALSE)</f>
        <v>0</v>
      </c>
      <c r="N67" s="14">
        <f>VLOOKUP(D67,'[1]Inv Sem 23 pzas '!A:F,3,FALSE)</f>
        <v>50000</v>
      </c>
      <c r="O67" s="14">
        <f>VLOOKUP(D67,'[1]Inv Sem 23 pzas '!A:F,4,FALSE)</f>
        <v>11493</v>
      </c>
      <c r="P67" s="14">
        <f>VLOOKUP(D67,'[1]Inv Sem 23 pzas '!A:F,5,FALSE)</f>
        <v>0</v>
      </c>
      <c r="Q67" s="14">
        <f>VLOOKUP(D67,'[1]Inv Sem 23 pzas '!A:F,6,FALSE)</f>
        <v>53000</v>
      </c>
      <c r="R67" s="13">
        <f t="shared" si="31"/>
        <v>114493</v>
      </c>
      <c r="S67" s="12">
        <f t="shared" si="32"/>
        <v>3663.7760000000003</v>
      </c>
      <c r="T67" s="11">
        <f t="shared" si="33"/>
        <v>0</v>
      </c>
      <c r="U67" s="11">
        <f t="shared" si="34"/>
        <v>61.321648771894615</v>
      </c>
      <c r="V67" s="11">
        <f t="shared" si="35"/>
        <v>14.095394186707697</v>
      </c>
      <c r="W67" s="11">
        <f t="shared" si="36"/>
        <v>0</v>
      </c>
      <c r="X67" s="11">
        <f t="shared" si="37"/>
        <v>65.000947698208293</v>
      </c>
      <c r="Y67" s="11">
        <f t="shared" si="38"/>
        <v>0</v>
      </c>
      <c r="Z67" s="9">
        <f t="shared" si="39"/>
        <v>140.41799065681062</v>
      </c>
      <c r="AA67" s="9">
        <f t="shared" si="40"/>
        <v>2.2857142857142856</v>
      </c>
      <c r="AB67" s="10">
        <f t="shared" si="41"/>
        <v>59.638690909090904</v>
      </c>
      <c r="AC67" s="9">
        <f t="shared" si="42"/>
        <v>138.13227637109634</v>
      </c>
      <c r="AD67" s="8">
        <f t="shared" si="43"/>
        <v>112629.29090909092</v>
      </c>
      <c r="AE67" s="7">
        <f t="shared" si="44"/>
        <v>3604.1373090909096</v>
      </c>
    </row>
    <row r="68" spans="1:31" x14ac:dyDescent="0.25">
      <c r="A68" s="22">
        <f t="shared" ca="1" si="30"/>
        <v>46182</v>
      </c>
      <c r="B68" s="21" t="s">
        <v>2</v>
      </c>
      <c r="C68" s="20" t="s">
        <v>1</v>
      </c>
      <c r="D68" s="4" t="s">
        <v>96</v>
      </c>
      <c r="E68" s="3" t="str">
        <f>VLOOKUP(D68,'[1]ANALISIS (NEW)'!C:E,3,FALSE)</f>
        <v>Label - A/C 3M 7874 Thermal Polyeste</v>
      </c>
      <c r="F68" s="19" t="str">
        <f>VLOOKUP(D68,'[1]ANALISIS (NEW)'!C:AX,48,FALSE)</f>
        <v>GENERAL LABELS AND PRINT</v>
      </c>
      <c r="G68" s="15" t="str">
        <f>VLOOKUP(D:D,'[1]ANALISIS (NEW)'!C:BY,75,FALSE)</f>
        <v>EA</v>
      </c>
      <c r="H68" s="18" t="str">
        <f>VLOOKUP(D68,'[1]ANALISIS (NEW)'!C:BF,49,FALSE)</f>
        <v xml:space="preserve">US </v>
      </c>
      <c r="I68" s="17">
        <f>VLOOKUP(D68,'[1]ANALISIS (NEW)'!C:BF,50,FALSE)</f>
        <v>9</v>
      </c>
      <c r="J68" s="16">
        <f>VLOOKUP(D68,'[1]ANALISIS (NEW)'!C:BG,57,FALSE)</f>
        <v>0.14537</v>
      </c>
      <c r="K68" s="15">
        <f>VLOOKUP(D68,'[1]ANALISIS (NEW)'!C:BF,56,FALSE)</f>
        <v>20.09090909090909</v>
      </c>
      <c r="L68" s="14">
        <v>0</v>
      </c>
      <c r="M68" s="14">
        <f>VLOOKUP(D68,'[1]Inv Sem 23 pzas '!A:F,2,FALSE)</f>
        <v>0</v>
      </c>
      <c r="N68" s="14">
        <f>VLOOKUP(D68,'[1]Inv Sem 23 pzas '!A:F,3,FALSE)</f>
        <v>0</v>
      </c>
      <c r="O68" s="14">
        <f>VLOOKUP(D68,'[1]Inv Sem 23 pzas '!A:F,4,FALSE)</f>
        <v>14723</v>
      </c>
      <c r="P68" s="14">
        <f>VLOOKUP(D68,'[1]Inv Sem 23 pzas '!A:F,5,FALSE)</f>
        <v>0</v>
      </c>
      <c r="Q68" s="14">
        <f>VLOOKUP(D68,'[1]Inv Sem 23 pzas '!A:F,6,FALSE)</f>
        <v>10000</v>
      </c>
      <c r="R68" s="13">
        <f t="shared" si="31"/>
        <v>24723</v>
      </c>
      <c r="S68" s="12">
        <f t="shared" si="32"/>
        <v>3593.9825099999998</v>
      </c>
      <c r="T68" s="11">
        <f t="shared" si="33"/>
        <v>0</v>
      </c>
      <c r="U68" s="11">
        <f t="shared" si="34"/>
        <v>0</v>
      </c>
      <c r="V68" s="11">
        <f t="shared" si="35"/>
        <v>732.81900452488696</v>
      </c>
      <c r="W68" s="11">
        <f t="shared" si="36"/>
        <v>0</v>
      </c>
      <c r="X68" s="11">
        <f t="shared" si="37"/>
        <v>497.73755656108602</v>
      </c>
      <c r="Y68" s="11">
        <f t="shared" si="38"/>
        <v>0</v>
      </c>
      <c r="Z68" s="9">
        <f t="shared" si="39"/>
        <v>1230.556561085973</v>
      </c>
      <c r="AA68" s="9">
        <f t="shared" si="40"/>
        <v>2.2857142857142856</v>
      </c>
      <c r="AB68" s="10">
        <f t="shared" si="41"/>
        <v>6.6756924675324667</v>
      </c>
      <c r="AC68" s="9">
        <f t="shared" si="42"/>
        <v>1228.2708468002588</v>
      </c>
      <c r="AD68" s="8">
        <f t="shared" si="43"/>
        <v>24677.077922077926</v>
      </c>
      <c r="AE68" s="7">
        <f t="shared" si="44"/>
        <v>3587.3068175324679</v>
      </c>
    </row>
    <row r="69" spans="1:31" x14ac:dyDescent="0.25">
      <c r="A69" s="22">
        <f t="shared" ca="1" si="30"/>
        <v>46182</v>
      </c>
      <c r="B69" s="21" t="s">
        <v>2</v>
      </c>
      <c r="C69" s="20" t="s">
        <v>1</v>
      </c>
      <c r="D69" s="4" t="s">
        <v>95</v>
      </c>
      <c r="E69" s="3" t="str">
        <f>VLOOKUP(D69,'[1]ANALISIS (NEW)'!C:E,3,FALSE)</f>
        <v>LABEL-A/C Label - A/C</v>
      </c>
      <c r="F69" s="19" t="str">
        <f>VLOOKUP(D69,'[1]ANALISIS (NEW)'!C:AX,48,FALSE)</f>
        <v>GENERAL LABELS AND PRINT</v>
      </c>
      <c r="G69" s="15" t="str">
        <f>VLOOKUP(D:D,'[1]ANALISIS (NEW)'!C:BY,75,FALSE)</f>
        <v>EA</v>
      </c>
      <c r="H69" s="18" t="str">
        <f>VLOOKUP(D69,'[1]ANALISIS (NEW)'!C:BF,49,FALSE)</f>
        <v xml:space="preserve">US </v>
      </c>
      <c r="I69" s="17">
        <f>VLOOKUP(D69,'[1]ANALISIS (NEW)'!C:BF,50,FALSE)</f>
        <v>9</v>
      </c>
      <c r="J69" s="16">
        <f>VLOOKUP(D69,'[1]ANALISIS (NEW)'!C:BG,57,FALSE)</f>
        <v>0.14968999999999999</v>
      </c>
      <c r="K69" s="15">
        <f>VLOOKUP(D69,'[1]ANALISIS (NEW)'!C:BF,56,FALSE)+1</f>
        <v>1</v>
      </c>
      <c r="L69" s="14">
        <v>0</v>
      </c>
      <c r="M69" s="14">
        <f>VLOOKUP(D69,'[1]Inv Sem 23 pzas '!A:F,2,FALSE)</f>
        <v>0</v>
      </c>
      <c r="N69" s="14">
        <f>VLOOKUP(D69,'[1]Inv Sem 23 pzas '!A:F,3,FALSE)</f>
        <v>0</v>
      </c>
      <c r="O69" s="14">
        <f>VLOOKUP(D69,'[1]Inv Sem 23 pzas '!A:F,4,FALSE)</f>
        <v>10748</v>
      </c>
      <c r="P69" s="14">
        <f>VLOOKUP(D69,'[1]Inv Sem 23 pzas '!A:F,5,FALSE)</f>
        <v>0</v>
      </c>
      <c r="Q69" s="14">
        <f>VLOOKUP(D69,'[1]Inv Sem 23 pzas '!A:F,6,FALSE)</f>
        <v>12150</v>
      </c>
      <c r="R69" s="13">
        <f t="shared" si="31"/>
        <v>22898</v>
      </c>
      <c r="S69" s="12">
        <f t="shared" si="32"/>
        <v>3427.6016199999999</v>
      </c>
      <c r="T69" s="11">
        <f t="shared" si="33"/>
        <v>0</v>
      </c>
      <c r="U69" s="11">
        <f t="shared" si="34"/>
        <v>0</v>
      </c>
      <c r="V69" s="11">
        <f t="shared" si="35"/>
        <v>10748</v>
      </c>
      <c r="W69" s="11">
        <f t="shared" si="36"/>
        <v>0</v>
      </c>
      <c r="X69" s="11">
        <f t="shared" si="37"/>
        <v>12150</v>
      </c>
      <c r="Y69" s="11">
        <f t="shared" si="38"/>
        <v>0</v>
      </c>
      <c r="Z69" s="9">
        <f t="shared" si="39"/>
        <v>22898</v>
      </c>
      <c r="AA69" s="9">
        <f t="shared" si="40"/>
        <v>2.2857142857142856</v>
      </c>
      <c r="AB69" s="10">
        <f t="shared" si="41"/>
        <v>0.34214857142857141</v>
      </c>
      <c r="AC69" s="9">
        <f t="shared" si="42"/>
        <v>22895.714285714286</v>
      </c>
      <c r="AD69" s="8">
        <f t="shared" si="43"/>
        <v>22895.714285714286</v>
      </c>
      <c r="AE69" s="7">
        <f t="shared" si="44"/>
        <v>3427.2594714285715</v>
      </c>
    </row>
    <row r="70" spans="1:31" x14ac:dyDescent="0.25">
      <c r="A70" s="22">
        <f t="shared" ca="1" si="30"/>
        <v>46182</v>
      </c>
      <c r="B70" s="21" t="s">
        <v>2</v>
      </c>
      <c r="C70" s="20" t="s">
        <v>1</v>
      </c>
      <c r="D70" s="4" t="s">
        <v>94</v>
      </c>
      <c r="E70" s="3" t="str">
        <f>VLOOKUP(D70,'[1]ANALISIS (NEW)'!C:E,3,FALSE)</f>
        <v>Label - A/C 3M 7874 Thermal Polyeste</v>
      </c>
      <c r="F70" s="19" t="str">
        <f>VLOOKUP(D70,'[1]ANALISIS (NEW)'!C:AX,48,FALSE)</f>
        <v>GENERAL LABELS AND PRINT</v>
      </c>
      <c r="G70" s="15" t="str">
        <f>VLOOKUP(D:D,'[1]ANALISIS (NEW)'!C:BY,75,FALSE)</f>
        <v>EA</v>
      </c>
      <c r="H70" s="18" t="str">
        <f>VLOOKUP(D70,'[1]ANALISIS (NEW)'!C:BF,49,FALSE)</f>
        <v xml:space="preserve">US </v>
      </c>
      <c r="I70" s="17">
        <f>VLOOKUP(D70,'[1]ANALISIS (NEW)'!C:BF,50,FALSE)</f>
        <v>9</v>
      </c>
      <c r="J70" s="16">
        <f>VLOOKUP(D70,'[1]ANALISIS (NEW)'!C:BG,57,FALSE)</f>
        <v>5.9179999999999996E-2</v>
      </c>
      <c r="K70" s="15">
        <f>VLOOKUP(D70,'[1]ANALISIS (NEW)'!C:BF,56,FALSE)</f>
        <v>7133</v>
      </c>
      <c r="L70" s="14">
        <v>0</v>
      </c>
      <c r="M70" s="14">
        <f>VLOOKUP(D70,'[1]Inv Sem 23 pzas '!A:F,2,FALSE)</f>
        <v>0</v>
      </c>
      <c r="N70" s="14">
        <f>VLOOKUP(D70,'[1]Inv Sem 23 pzas '!A:F,3,FALSE)</f>
        <v>0</v>
      </c>
      <c r="O70" s="14">
        <f>VLOOKUP(D70,'[1]Inv Sem 23 pzas '!A:F,4,FALSE)</f>
        <v>33872</v>
      </c>
      <c r="P70" s="14">
        <f>VLOOKUP(D70,'[1]Inv Sem 23 pzas '!A:F,5,FALSE)</f>
        <v>0</v>
      </c>
      <c r="Q70" s="14">
        <f>VLOOKUP(D70,'[1]Inv Sem 23 pzas '!A:F,6,FALSE)</f>
        <v>40000</v>
      </c>
      <c r="R70" s="13">
        <f t="shared" si="31"/>
        <v>73872</v>
      </c>
      <c r="S70" s="12">
        <f t="shared" si="32"/>
        <v>4371.74496</v>
      </c>
      <c r="T70" s="11">
        <f t="shared" si="33"/>
        <v>0</v>
      </c>
      <c r="U70" s="11">
        <f t="shared" si="34"/>
        <v>0</v>
      </c>
      <c r="V70" s="11">
        <f t="shared" si="35"/>
        <v>4.7486331136969016</v>
      </c>
      <c r="W70" s="11">
        <f t="shared" si="36"/>
        <v>0</v>
      </c>
      <c r="X70" s="11">
        <f t="shared" si="37"/>
        <v>5.6077386793775412</v>
      </c>
      <c r="Y70" s="11">
        <f t="shared" si="38"/>
        <v>0</v>
      </c>
      <c r="Z70" s="9">
        <f t="shared" si="39"/>
        <v>10.356371793074443</v>
      </c>
      <c r="AA70" s="9">
        <f t="shared" si="40"/>
        <v>2.2857142857142856</v>
      </c>
      <c r="AB70" s="10">
        <f t="shared" si="41"/>
        <v>964.87071999999989</v>
      </c>
      <c r="AC70" s="9">
        <f t="shared" si="42"/>
        <v>8.0706575073601563</v>
      </c>
      <c r="AD70" s="8">
        <f t="shared" si="43"/>
        <v>57567.999999999993</v>
      </c>
      <c r="AE70" s="7">
        <f t="shared" si="44"/>
        <v>3406.8742399999992</v>
      </c>
    </row>
    <row r="71" spans="1:31" x14ac:dyDescent="0.25">
      <c r="A71" s="22">
        <f t="shared" ca="1" si="30"/>
        <v>46182</v>
      </c>
      <c r="B71" s="21" t="s">
        <v>2</v>
      </c>
      <c r="C71" s="20" t="s">
        <v>1</v>
      </c>
      <c r="D71" s="4" t="s">
        <v>93</v>
      </c>
      <c r="E71" s="3" t="str">
        <f>VLOOKUP(D71,'[1]ANALISIS (NEW)'!C:E,3,FALSE)</f>
        <v>LABEL-A/C Label - A/C</v>
      </c>
      <c r="F71" s="19" t="str">
        <f>VLOOKUP(D71,'[1]ANALISIS (NEW)'!C:AX,48,FALSE)</f>
        <v>GENERAL LABELS AND PRINT</v>
      </c>
      <c r="G71" s="15" t="str">
        <f>VLOOKUP(D:D,'[1]ANALISIS (NEW)'!C:BY,75,FALSE)</f>
        <v>EA</v>
      </c>
      <c r="H71" s="18" t="str">
        <f>VLOOKUP(D71,'[1]ANALISIS (NEW)'!C:BF,49,FALSE)</f>
        <v xml:space="preserve">US </v>
      </c>
      <c r="I71" s="17">
        <f>VLOOKUP(D71,'[1]ANALISIS (NEW)'!C:BF,50,FALSE)</f>
        <v>9</v>
      </c>
      <c r="J71" s="16">
        <f>VLOOKUP(D71,'[1]ANALISIS (NEW)'!C:BG,57,FALSE)</f>
        <v>0.14968999999999999</v>
      </c>
      <c r="K71" s="15">
        <f>VLOOKUP(D71,'[1]ANALISIS (NEW)'!C:BF,56,FALSE)</f>
        <v>391.63636363636363</v>
      </c>
      <c r="L71" s="14">
        <v>0</v>
      </c>
      <c r="M71" s="14">
        <f>VLOOKUP(D71,'[1]Inv Sem 23 pzas '!A:F,2,FALSE)</f>
        <v>0</v>
      </c>
      <c r="N71" s="14">
        <f>VLOOKUP(D71,'[1]Inv Sem 23 pzas '!A:F,3,FALSE)</f>
        <v>0</v>
      </c>
      <c r="O71" s="14">
        <f>VLOOKUP(D71,'[1]Inv Sem 23 pzas '!A:F,4,FALSE)</f>
        <v>17357</v>
      </c>
      <c r="P71" s="14">
        <f>VLOOKUP(D71,'[1]Inv Sem 23 pzas '!A:F,5,FALSE)</f>
        <v>0</v>
      </c>
      <c r="Q71" s="14">
        <f>VLOOKUP(D71,'[1]Inv Sem 23 pzas '!A:F,6,FALSE)</f>
        <v>6000</v>
      </c>
      <c r="R71" s="13">
        <f t="shared" si="31"/>
        <v>23357</v>
      </c>
      <c r="S71" s="12">
        <f t="shared" si="32"/>
        <v>3496.3093299999996</v>
      </c>
      <c r="T71" s="11">
        <f t="shared" si="33"/>
        <v>0</v>
      </c>
      <c r="U71" s="11">
        <f t="shared" si="34"/>
        <v>0</v>
      </c>
      <c r="V71" s="11">
        <f t="shared" si="35"/>
        <v>44.319173630454969</v>
      </c>
      <c r="W71" s="11">
        <f t="shared" si="36"/>
        <v>0</v>
      </c>
      <c r="X71" s="11">
        <f t="shared" si="37"/>
        <v>15.32033426183844</v>
      </c>
      <c r="Y71" s="11">
        <f t="shared" si="38"/>
        <v>0</v>
      </c>
      <c r="Z71" s="9">
        <f t="shared" si="39"/>
        <v>59.639507892293409</v>
      </c>
      <c r="AA71" s="9">
        <f t="shared" si="40"/>
        <v>2.2857142857142856</v>
      </c>
      <c r="AB71" s="10">
        <f t="shared" si="41"/>
        <v>133.99782233766231</v>
      </c>
      <c r="AC71" s="9">
        <f t="shared" si="42"/>
        <v>57.353793606579124</v>
      </c>
      <c r="AD71" s="8">
        <f t="shared" si="43"/>
        <v>22461.83116883117</v>
      </c>
      <c r="AE71" s="7">
        <f t="shared" si="44"/>
        <v>3362.3115076623376</v>
      </c>
    </row>
    <row r="72" spans="1:31" x14ac:dyDescent="0.25">
      <c r="A72" s="22">
        <f t="shared" ca="1" si="30"/>
        <v>46182</v>
      </c>
      <c r="B72" s="21" t="s">
        <v>2</v>
      </c>
      <c r="C72" s="20" t="s">
        <v>1</v>
      </c>
      <c r="D72" s="4" t="s">
        <v>92</v>
      </c>
      <c r="E72" s="3" t="str">
        <f>VLOOKUP(D72,'[1]ANALISIS (NEW)'!C:E,3,FALSE)</f>
        <v>BRKT/CLIP-A/C LINE</v>
      </c>
      <c r="F72" s="19" t="str">
        <f>VLOOKUP(D72,'[1]ANALISIS (NEW)'!C:AX,48,FALSE)</f>
        <v>PRECISE TOOL &amp; DIE LIMIT</v>
      </c>
      <c r="G72" s="15" t="str">
        <f>VLOOKUP(D:D,'[1]ANALISIS (NEW)'!C:BY,75,FALSE)</f>
        <v>EA</v>
      </c>
      <c r="H72" s="18" t="str">
        <f>VLOOKUP(D72,'[1]ANALISIS (NEW)'!C:BF,49,FALSE)</f>
        <v xml:space="preserve">CA </v>
      </c>
      <c r="I72" s="17">
        <f>VLOOKUP(D72,'[1]ANALISIS (NEW)'!C:BF,50,FALSE)</f>
        <v>11</v>
      </c>
      <c r="J72" s="16">
        <f>VLOOKUP(D72,'[1]ANALISIS (NEW)'!C:BG,57,FALSE)</f>
        <v>0.5504</v>
      </c>
      <c r="K72" s="15">
        <f>VLOOKUP(D72,'[1]ANALISIS (NEW)'!C:BF,56,FALSE)+K73</f>
        <v>3330.909090909091</v>
      </c>
      <c r="L72" s="14">
        <v>0</v>
      </c>
      <c r="M72" s="14">
        <f>VLOOKUP(D72,'[1]Inv Sem 23 pzas '!A:F,2,FALSE)</f>
        <v>0</v>
      </c>
      <c r="N72" s="14">
        <f>VLOOKUP(D72,'[1]Inv Sem 23 pzas '!A:F,3,FALSE)</f>
        <v>0</v>
      </c>
      <c r="O72" s="14">
        <f>VLOOKUP(D72,'[1]Inv Sem 23 pzas '!A:F,4,FALSE)</f>
        <v>1686</v>
      </c>
      <c r="P72" s="14">
        <f>VLOOKUP(D72,'[1]Inv Sem 23 pzas '!A:F,5,FALSE)</f>
        <v>0</v>
      </c>
      <c r="Q72" s="14">
        <f>VLOOKUP(D72,'[1]Inv Sem 23 pzas '!A:F,6,FALSE)</f>
        <v>18000</v>
      </c>
      <c r="R72" s="13">
        <f t="shared" si="31"/>
        <v>19686</v>
      </c>
      <c r="S72" s="12">
        <f t="shared" si="32"/>
        <v>10835.1744</v>
      </c>
      <c r="T72" s="11">
        <f t="shared" si="33"/>
        <v>0</v>
      </c>
      <c r="U72" s="11">
        <f t="shared" si="34"/>
        <v>0</v>
      </c>
      <c r="V72" s="11">
        <f t="shared" si="35"/>
        <v>0.50616812227074237</v>
      </c>
      <c r="W72" s="11">
        <f t="shared" si="36"/>
        <v>0</v>
      </c>
      <c r="X72" s="11">
        <f t="shared" si="37"/>
        <v>5.4039301310043664</v>
      </c>
      <c r="Y72" s="11">
        <f t="shared" si="38"/>
        <v>0</v>
      </c>
      <c r="Z72" s="9">
        <f t="shared" si="39"/>
        <v>5.910098253275109</v>
      </c>
      <c r="AA72" s="9">
        <f t="shared" si="40"/>
        <v>2.5714285714285716</v>
      </c>
      <c r="AB72" s="10">
        <f t="shared" si="41"/>
        <v>4714.2832207792208</v>
      </c>
      <c r="AC72" s="9">
        <f t="shared" si="42"/>
        <v>3.3386696818465373</v>
      </c>
      <c r="AD72" s="8">
        <f t="shared" si="43"/>
        <v>11120.805194805194</v>
      </c>
      <c r="AE72" s="7">
        <f t="shared" si="44"/>
        <v>6120.8911792207791</v>
      </c>
    </row>
    <row r="73" spans="1:31" x14ac:dyDescent="0.25">
      <c r="A73" s="22">
        <f t="shared" ca="1" si="30"/>
        <v>46182</v>
      </c>
      <c r="B73" s="21" t="s">
        <v>2</v>
      </c>
      <c r="C73" s="20" t="s">
        <v>1</v>
      </c>
      <c r="D73" s="4" t="s">
        <v>91</v>
      </c>
      <c r="E73" s="3" t="str">
        <f>VLOOKUP(D73,'[1]ANALISIS (NEW)'!C:E,3,FALSE)</f>
        <v>BRKT/CLIP-A/C LINE</v>
      </c>
      <c r="F73" s="19" t="str">
        <f>VLOOKUP(D73,'[1]ANALISIS (NEW)'!C:AX,48,FALSE)</f>
        <v>PRECISE TOOL &amp; DIE LIMIT</v>
      </c>
      <c r="G73" s="15" t="str">
        <f>VLOOKUP(D:D,'[1]ANALISIS (NEW)'!C:BY,75,FALSE)</f>
        <v>EA</v>
      </c>
      <c r="H73" s="18" t="str">
        <f>VLOOKUP(D73,'[1]ANALISIS (NEW)'!C:BF,49,FALSE)</f>
        <v xml:space="preserve">CA </v>
      </c>
      <c r="I73" s="17">
        <f>VLOOKUP(D73,'[1]ANALISIS (NEW)'!C:BF,50,FALSE)</f>
        <v>11</v>
      </c>
      <c r="J73" s="16">
        <f>VLOOKUP(D73,'[1]ANALISIS (NEW)'!C:BG,57,FALSE)</f>
        <v>0.623</v>
      </c>
      <c r="K73" s="15">
        <f>VLOOKUP(D73,'[1]ANALISIS (NEW)'!C:BF,56,FALSE)</f>
        <v>1969.4545454545455</v>
      </c>
      <c r="L73" s="14">
        <v>0</v>
      </c>
      <c r="M73" s="14">
        <f>VLOOKUP(D73,'[1]Inv Sem 23 pzas '!A:F,2,FALSE)</f>
        <v>0</v>
      </c>
      <c r="N73" s="14">
        <f>VLOOKUP(D73,'[1]Inv Sem 23 pzas '!A:F,3,FALSE)</f>
        <v>0</v>
      </c>
      <c r="O73" s="14">
        <f>VLOOKUP(D73,'[1]Inv Sem 23 pzas '!A:F,4,FALSE)</f>
        <v>520</v>
      </c>
      <c r="P73" s="14">
        <f>VLOOKUP(D73,'[1]Inv Sem 23 pzas '!A:F,5,FALSE)</f>
        <v>0</v>
      </c>
      <c r="Q73" s="14">
        <f>VLOOKUP(D73,'[1]Inv Sem 23 pzas '!A:F,6,FALSE)</f>
        <v>9275</v>
      </c>
      <c r="R73" s="13">
        <f t="shared" si="31"/>
        <v>9795</v>
      </c>
      <c r="S73" s="12">
        <f t="shared" si="32"/>
        <v>6102.2849999999999</v>
      </c>
      <c r="T73" s="11">
        <f t="shared" si="33"/>
        <v>0</v>
      </c>
      <c r="U73" s="11">
        <f t="shared" si="34"/>
        <v>0</v>
      </c>
      <c r="V73" s="11">
        <f t="shared" si="35"/>
        <v>0.2640324963072378</v>
      </c>
      <c r="W73" s="11">
        <f t="shared" si="36"/>
        <v>0</v>
      </c>
      <c r="X73" s="11">
        <f t="shared" si="37"/>
        <v>4.7094257754800593</v>
      </c>
      <c r="Y73" s="11">
        <f t="shared" si="38"/>
        <v>0</v>
      </c>
      <c r="Z73" s="9">
        <f t="shared" si="39"/>
        <v>4.9734582717872975</v>
      </c>
      <c r="AA73" s="9">
        <f t="shared" si="40"/>
        <v>2.5714285714285716</v>
      </c>
      <c r="AB73" s="10">
        <f t="shared" si="41"/>
        <v>3155.0661818181825</v>
      </c>
      <c r="AC73" s="9">
        <f t="shared" si="42"/>
        <v>2.4020297003587259</v>
      </c>
      <c r="AD73" s="8">
        <f t="shared" si="43"/>
        <v>4730.6883116883128</v>
      </c>
      <c r="AE73" s="7">
        <f t="shared" si="44"/>
        <v>2947.2188181818187</v>
      </c>
    </row>
    <row r="74" spans="1:31" x14ac:dyDescent="0.25">
      <c r="A74" s="22">
        <f t="shared" ca="1" si="30"/>
        <v>46182</v>
      </c>
      <c r="B74" s="21" t="s">
        <v>2</v>
      </c>
      <c r="C74" s="20" t="s">
        <v>1</v>
      </c>
      <c r="D74" s="4" t="s">
        <v>90</v>
      </c>
      <c r="E74" s="3" t="str">
        <f>VLOOKUP(D74,'[1]ANALISIS (NEW)'!C:E,3,FALSE)</f>
        <v>GROMMET-A/C TUBE BRKT</v>
      </c>
      <c r="F74" s="19" t="str">
        <f>VLOOKUP(D74,'[1]ANALISIS (NEW)'!C:AX,48,FALSE)</f>
        <v>SINCLAIR &amp; RUSH, INC.</v>
      </c>
      <c r="G74" s="15" t="str">
        <f>VLOOKUP(D:D,'[1]ANALISIS (NEW)'!C:BY,75,FALSE)</f>
        <v>EA</v>
      </c>
      <c r="H74" s="18" t="str">
        <f>VLOOKUP(D74,'[1]ANALISIS (NEW)'!C:BF,49,FALSE)</f>
        <v xml:space="preserve">US </v>
      </c>
      <c r="I74" s="17">
        <f>VLOOKUP(D74,'[1]ANALISIS (NEW)'!C:BF,50,FALSE)</f>
        <v>9</v>
      </c>
      <c r="J74" s="16">
        <f>VLOOKUP(D74,'[1]ANALISIS (NEW)'!C:BG,57,FALSE)</f>
        <v>0.3503</v>
      </c>
      <c r="K74" s="15">
        <f>VLOOKUP(D74,'[1]ANALISIS (NEW)'!C:BF,56,FALSE)+1</f>
        <v>1.1818181818181819</v>
      </c>
      <c r="L74" s="14">
        <v>0</v>
      </c>
      <c r="M74" s="14">
        <f>VLOOKUP(D74,'[1]Inv Sem 23 pzas '!A:F,2,FALSE)</f>
        <v>0</v>
      </c>
      <c r="N74" s="14">
        <f>VLOOKUP(D74,'[1]Inv Sem 23 pzas '!A:F,3,FALSE)</f>
        <v>4000</v>
      </c>
      <c r="O74" s="14">
        <f>VLOOKUP(D74,'[1]Inv Sem 23 pzas '!A:F,4,FALSE)</f>
        <v>1346</v>
      </c>
      <c r="P74" s="14">
        <f>VLOOKUP(D74,'[1]Inv Sem 23 pzas '!A:F,5,FALSE)</f>
        <v>0</v>
      </c>
      <c r="Q74" s="14">
        <f>VLOOKUP(D74,'[1]Inv Sem 23 pzas '!A:F,6,FALSE)</f>
        <v>2400</v>
      </c>
      <c r="R74" s="13">
        <f t="shared" si="31"/>
        <v>7746</v>
      </c>
      <c r="S74" s="12">
        <f t="shared" si="32"/>
        <v>2713.4238</v>
      </c>
      <c r="T74" s="11">
        <f t="shared" si="33"/>
        <v>0</v>
      </c>
      <c r="U74" s="11">
        <f t="shared" si="34"/>
        <v>3384.6153846153843</v>
      </c>
      <c r="V74" s="11">
        <f t="shared" si="35"/>
        <v>1138.9230769230769</v>
      </c>
      <c r="W74" s="11">
        <f t="shared" si="36"/>
        <v>0</v>
      </c>
      <c r="X74" s="11">
        <f t="shared" si="37"/>
        <v>2030.7692307692307</v>
      </c>
      <c r="Y74" s="11">
        <f t="shared" si="38"/>
        <v>0</v>
      </c>
      <c r="Z74" s="9">
        <f t="shared" si="39"/>
        <v>6554.3076923076915</v>
      </c>
      <c r="AA74" s="9">
        <f t="shared" si="40"/>
        <v>2.2857142857142856</v>
      </c>
      <c r="AB74" s="10">
        <f t="shared" si="41"/>
        <v>0.94626493506493503</v>
      </c>
      <c r="AC74" s="9">
        <f t="shared" si="42"/>
        <v>6552.0219780219768</v>
      </c>
      <c r="AD74" s="8">
        <f t="shared" si="43"/>
        <v>7743.2987012987005</v>
      </c>
      <c r="AE74" s="7">
        <f t="shared" si="44"/>
        <v>2712.4775350649347</v>
      </c>
    </row>
    <row r="75" spans="1:31" x14ac:dyDescent="0.25">
      <c r="A75" s="22">
        <f t="shared" ca="1" si="30"/>
        <v>46182</v>
      </c>
      <c r="B75" s="21" t="s">
        <v>2</v>
      </c>
      <c r="C75" s="20" t="s">
        <v>1</v>
      </c>
      <c r="D75" s="4" t="s">
        <v>89</v>
      </c>
      <c r="E75" s="3" t="str">
        <f>VLOOKUP(D75,'[1]ANALISIS (NEW)'!C:E,3,FALSE)</f>
        <v>LABEL EI ID, WHITE</v>
      </c>
      <c r="F75" s="19" t="str">
        <f>VLOOKUP(D75,'[1]ANALISIS (NEW)'!C:AX,48,FALSE)</f>
        <v>GENERAL LABELS AND PRINTING LLC</v>
      </c>
      <c r="G75" s="15" t="str">
        <f>VLOOKUP(D:D,'[1]ANALISIS (NEW)'!C:BY,75,FALSE)</f>
        <v>EA</v>
      </c>
      <c r="H75" s="18" t="str">
        <f>VLOOKUP(D75,'[1]ANALISIS (NEW)'!C:BF,49,FALSE)</f>
        <v xml:space="preserve">US </v>
      </c>
      <c r="I75" s="17">
        <f>VLOOKUP(D75,'[1]ANALISIS (NEW)'!C:BF,50,FALSE)</f>
        <v>9</v>
      </c>
      <c r="J75" s="16">
        <f>VLOOKUP(D75,'[1]ANALISIS (NEW)'!C:BG,57,FALSE)</f>
        <v>1.7670000000000002E-2</v>
      </c>
      <c r="K75" s="15">
        <f>VLOOKUP(D75,'[1]ANALISIS (NEW)'!C:BF,56,FALSE)+0.1</f>
        <v>10939.918181818182</v>
      </c>
      <c r="L75" s="14">
        <v>0</v>
      </c>
      <c r="M75" s="14">
        <f>VLOOKUP(D75,'[1]Inv Sem 23 pzas '!A:F,2,FALSE)</f>
        <v>0</v>
      </c>
      <c r="N75" s="14">
        <f>VLOOKUP(D75,'[1]Inv Sem 23 pzas '!A:F,3,FALSE)</f>
        <v>0</v>
      </c>
      <c r="O75" s="14">
        <f>VLOOKUP(D75,'[1]Inv Sem 23 pzas '!A:F,4,FALSE)</f>
        <v>32228</v>
      </c>
      <c r="P75" s="14">
        <f>VLOOKUP(D75,'[1]Inv Sem 23 pzas '!A:F,5,FALSE)</f>
        <v>0</v>
      </c>
      <c r="Q75" s="14">
        <f>VLOOKUP(D75,'[1]Inv Sem 23 pzas '!A:F,6,FALSE)</f>
        <v>142800</v>
      </c>
      <c r="R75" s="13">
        <f t="shared" si="31"/>
        <v>175028</v>
      </c>
      <c r="S75" s="12">
        <f t="shared" si="32"/>
        <v>3092.7447600000005</v>
      </c>
      <c r="T75" s="11">
        <f t="shared" si="33"/>
        <v>0</v>
      </c>
      <c r="U75" s="11">
        <f t="shared" si="34"/>
        <v>0</v>
      </c>
      <c r="V75" s="11">
        <f t="shared" si="35"/>
        <v>2.9459086863704314</v>
      </c>
      <c r="W75" s="11">
        <f t="shared" si="36"/>
        <v>0</v>
      </c>
      <c r="X75" s="11">
        <f t="shared" si="37"/>
        <v>13.053114075142659</v>
      </c>
      <c r="Y75" s="11">
        <f t="shared" si="38"/>
        <v>0</v>
      </c>
      <c r="Z75" s="9">
        <f t="shared" si="39"/>
        <v>15.999022761513091</v>
      </c>
      <c r="AA75" s="9">
        <f t="shared" si="40"/>
        <v>2.2857142857142856</v>
      </c>
      <c r="AB75" s="10">
        <f t="shared" si="41"/>
        <v>441.84766690909095</v>
      </c>
      <c r="AC75" s="9">
        <f t="shared" si="42"/>
        <v>13.713308475798804</v>
      </c>
      <c r="AD75" s="8">
        <f t="shared" si="43"/>
        <v>150022.47272727272</v>
      </c>
      <c r="AE75" s="7">
        <f t="shared" si="44"/>
        <v>2650.897093090909</v>
      </c>
    </row>
    <row r="76" spans="1:31" x14ac:dyDescent="0.25">
      <c r="A76" s="22">
        <f t="shared" ca="1" si="30"/>
        <v>46182</v>
      </c>
      <c r="B76" s="21" t="s">
        <v>2</v>
      </c>
      <c r="C76" s="20" t="s">
        <v>1</v>
      </c>
      <c r="D76" s="4" t="s">
        <v>88</v>
      </c>
      <c r="E76" s="3" t="str">
        <f>VLOOKUP(D76,'[1]ANALISIS (NEW)'!C:E,3,FALSE)</f>
        <v>BRKT/CLIP-A/C LINE</v>
      </c>
      <c r="F76" s="19" t="str">
        <f>VLOOKUP(D76,'[1]ANALISIS (NEW)'!C:AX,48,FALSE)</f>
        <v>PRECISE TOOL &amp; DIE LIMIT</v>
      </c>
      <c r="G76" s="15" t="str">
        <f>VLOOKUP(D:D,'[1]ANALISIS (NEW)'!C:BY,75,FALSE)</f>
        <v>EA</v>
      </c>
      <c r="H76" s="18" t="str">
        <f>VLOOKUP(D76,'[1]ANALISIS (NEW)'!C:BF,49,FALSE)</f>
        <v xml:space="preserve">CA </v>
      </c>
      <c r="I76" s="17">
        <f>VLOOKUP(D76,'[1]ANALISIS (NEW)'!C:BF,50,FALSE)</f>
        <v>11</v>
      </c>
      <c r="J76" s="16">
        <f>VLOOKUP(D76,'[1]ANALISIS (NEW)'!C:BG,57,FALSE)</f>
        <v>0.14430000000000001</v>
      </c>
      <c r="K76" s="15">
        <f>VLOOKUP(D76,'[1]ANALISIS (NEW)'!C:BF,56,FALSE)</f>
        <v>1361.4545454545455</v>
      </c>
      <c r="L76" s="14">
        <v>0</v>
      </c>
      <c r="M76" s="14">
        <f>VLOOKUP(D76,'[1]Inv Sem 23 pzas '!A:F,2,FALSE)</f>
        <v>0</v>
      </c>
      <c r="N76" s="14">
        <f>VLOOKUP(D76,'[1]Inv Sem 23 pzas '!A:F,3,FALSE)</f>
        <v>0</v>
      </c>
      <c r="O76" s="14">
        <f>VLOOKUP(D76,'[1]Inv Sem 23 pzas '!A:F,4,FALSE)</f>
        <v>4760</v>
      </c>
      <c r="P76" s="14">
        <f>VLOOKUP(D76,'[1]Inv Sem 23 pzas '!A:F,5,FALSE)</f>
        <v>0</v>
      </c>
      <c r="Q76" s="14">
        <f>VLOOKUP(D76,'[1]Inv Sem 23 pzas '!A:F,6,FALSE)</f>
        <v>15400</v>
      </c>
      <c r="R76" s="13">
        <f t="shared" si="31"/>
        <v>20160</v>
      </c>
      <c r="S76" s="12">
        <f t="shared" si="32"/>
        <v>2909.0880000000002</v>
      </c>
      <c r="T76" s="11">
        <f t="shared" si="33"/>
        <v>0</v>
      </c>
      <c r="U76" s="11">
        <f t="shared" si="34"/>
        <v>0</v>
      </c>
      <c r="V76" s="11">
        <f t="shared" si="35"/>
        <v>3.4962606837606836</v>
      </c>
      <c r="W76" s="11">
        <f t="shared" si="36"/>
        <v>0</v>
      </c>
      <c r="X76" s="11">
        <f t="shared" si="37"/>
        <v>11.311431623931623</v>
      </c>
      <c r="Y76" s="11">
        <f t="shared" si="38"/>
        <v>0</v>
      </c>
      <c r="Z76" s="9">
        <f t="shared" si="39"/>
        <v>14.807692307692307</v>
      </c>
      <c r="AA76" s="9">
        <f t="shared" si="40"/>
        <v>2.5714285714285716</v>
      </c>
      <c r="AB76" s="10">
        <f t="shared" si="41"/>
        <v>505.17743376623383</v>
      </c>
      <c r="AC76" s="9">
        <f t="shared" si="42"/>
        <v>12.236263736263735</v>
      </c>
      <c r="AD76" s="8">
        <f t="shared" si="43"/>
        <v>16659.116883116883</v>
      </c>
      <c r="AE76" s="7">
        <f t="shared" si="44"/>
        <v>2403.9105662337665</v>
      </c>
    </row>
    <row r="77" spans="1:31" x14ac:dyDescent="0.25">
      <c r="A77" s="22">
        <f t="shared" ca="1" si="30"/>
        <v>46182</v>
      </c>
      <c r="B77" s="21" t="s">
        <v>2</v>
      </c>
      <c r="C77" s="20" t="s">
        <v>1</v>
      </c>
      <c r="D77" s="4" t="s">
        <v>87</v>
      </c>
      <c r="E77" s="3" t="str">
        <f>VLOOKUP(D77,'[1]ANALISIS (NEW)'!C:E,3,FALSE)</f>
        <v>RAW MATERIAL 5/8INCH HOS E GY 4880</v>
      </c>
      <c r="F77" s="19" t="str">
        <f>VLOOKUP(D77,'[1]ANALISIS (NEW)'!C:AX,48,FALSE)</f>
        <v>CONTITECH USA, INC.</v>
      </c>
      <c r="G77" s="15" t="str">
        <f>VLOOKUP(D:D,'[1]ANALISIS (NEW)'!C:BY,75,FALSE)</f>
        <v>MM</v>
      </c>
      <c r="H77" s="18" t="str">
        <f>VLOOKUP(D77,'[1]ANALISIS (NEW)'!C:BF,49,FALSE)</f>
        <v xml:space="preserve">US </v>
      </c>
      <c r="I77" s="17">
        <f>VLOOKUP(D77,'[1]ANALISIS (NEW)'!C:BF,50,FALSE)</f>
        <v>9</v>
      </c>
      <c r="J77" s="16">
        <f>VLOOKUP(D77,'[1]ANALISIS (NEW)'!C:BG,57,FALSE)*1000</f>
        <v>3.38</v>
      </c>
      <c r="K77" s="15">
        <f>VLOOKUP(D77,'[1]ANALISIS (NEW)'!C:BF,56,FALSE)</f>
        <v>412.20946363636358</v>
      </c>
      <c r="L77" s="14">
        <v>0</v>
      </c>
      <c r="M77" s="14">
        <f>VLOOKUP(D77,'[1]Inv Sem 23 pzas '!A:F,2,FALSE)/1000</f>
        <v>0</v>
      </c>
      <c r="N77" s="14">
        <f>VLOOKUP(D77,'[1]Inv Sem 23 pzas '!A:F,3,FALSE)/1000</f>
        <v>0</v>
      </c>
      <c r="O77" s="14">
        <f>VLOOKUP(D77,'[1]Inv Sem 23 pzas '!A:F,4,FALSE)/1000</f>
        <v>700.803</v>
      </c>
      <c r="P77" s="14">
        <f>VLOOKUP(D77,'[1]Inv Sem 23 pzas '!A:F,5,FALSE)</f>
        <v>0</v>
      </c>
      <c r="Q77" s="14">
        <f>VLOOKUP(D77,'[1]Inv Sem 23 pzas '!A:F,6,FALSE)/1000</f>
        <v>942</v>
      </c>
      <c r="R77" s="13">
        <f t="shared" si="31"/>
        <v>1642.8029999999999</v>
      </c>
      <c r="S77" s="12">
        <f t="shared" si="32"/>
        <v>5552.6741399999992</v>
      </c>
      <c r="T77" s="11">
        <f t="shared" si="33"/>
        <v>0</v>
      </c>
      <c r="U77" s="11">
        <f t="shared" si="34"/>
        <v>0</v>
      </c>
      <c r="V77" s="11">
        <f t="shared" si="35"/>
        <v>1.7001138057767236</v>
      </c>
      <c r="W77" s="11">
        <f t="shared" si="36"/>
        <v>0</v>
      </c>
      <c r="X77" s="11">
        <f t="shared" si="37"/>
        <v>2.2852459322258518</v>
      </c>
      <c r="Y77" s="11">
        <f t="shared" si="38"/>
        <v>0</v>
      </c>
      <c r="Z77" s="9">
        <f t="shared" si="39"/>
        <v>3.9853597380025754</v>
      </c>
      <c r="AA77" s="9">
        <f t="shared" si="40"/>
        <v>2.2857142857142856</v>
      </c>
      <c r="AB77" s="10">
        <f t="shared" si="41"/>
        <v>3184.6125419220771</v>
      </c>
      <c r="AC77" s="9">
        <f t="shared" si="42"/>
        <v>1.6996454522882898</v>
      </c>
      <c r="AD77" s="8">
        <f t="shared" si="43"/>
        <v>700.60994025974048</v>
      </c>
      <c r="AE77" s="7">
        <f t="shared" si="44"/>
        <v>2368.0615980779226</v>
      </c>
    </row>
    <row r="78" spans="1:31" x14ac:dyDescent="0.25">
      <c r="A78" s="22">
        <f t="shared" ca="1" si="30"/>
        <v>46182</v>
      </c>
      <c r="B78" s="21" t="s">
        <v>2</v>
      </c>
      <c r="C78" s="20" t="s">
        <v>1</v>
      </c>
      <c r="D78" s="4" t="s">
        <v>86</v>
      </c>
      <c r="E78" s="3" t="str">
        <f>VLOOKUP(D78,'[1]ANALISIS (NEW)'!C:E,3,FALSE)</f>
        <v>SLV HT ALU SELF WRAP SLV HT ALU SELF WRA</v>
      </c>
      <c r="F78" s="19" t="str">
        <f>VLOOKUP(D78,'[1]ANALISIS (NEW)'!C:AX,48,FALSE)</f>
        <v xml:space="preserve">FEDERAL-MOGUL POWERTRAIN- Qro </v>
      </c>
      <c r="G78" s="15" t="str">
        <f>VLOOKUP(D:D,'[1]ANALISIS (NEW)'!C:BY,75,FALSE)</f>
        <v>EA</v>
      </c>
      <c r="H78" s="18" t="str">
        <f>VLOOKUP(D78,'[1]ANALISIS (NEW)'!C:BF,49,FALSE)</f>
        <v xml:space="preserve">US </v>
      </c>
      <c r="I78" s="17">
        <f>VLOOKUP(D78,'[1]ANALISIS (NEW)'!C:BF,50,FALSE)</f>
        <v>9</v>
      </c>
      <c r="J78" s="16">
        <f>VLOOKUP(D78,'[1]ANALISIS (NEW)'!C:BG,57,FALSE)</f>
        <v>0.4501</v>
      </c>
      <c r="K78" s="15">
        <f>VLOOKUP(D78,'[1]ANALISIS (NEW)'!C:BF,56,FALSE)</f>
        <v>38.81818181818182</v>
      </c>
      <c r="L78" s="14">
        <v>0</v>
      </c>
      <c r="M78" s="14">
        <f>VLOOKUP(D78,'[1]Inv Sem 23 pzas '!A:F,2,FALSE)</f>
        <v>0</v>
      </c>
      <c r="N78" s="14">
        <f>VLOOKUP(D78,'[1]Inv Sem 23 pzas '!A:F,3,FALSE)</f>
        <v>0</v>
      </c>
      <c r="O78" s="14">
        <f>VLOOKUP(D78,'[1]Inv Sem 23 pzas '!A:F,4,FALSE)</f>
        <v>208</v>
      </c>
      <c r="P78" s="14">
        <f>VLOOKUP(D78,'[1]Inv Sem 23 pzas '!A:F,5,FALSE)</f>
        <v>0</v>
      </c>
      <c r="Q78" s="14">
        <f>VLOOKUP(D78,'[1]Inv Sem 23 pzas '!A:F,6,FALSE)</f>
        <v>5000</v>
      </c>
      <c r="R78" s="13">
        <f t="shared" si="31"/>
        <v>5208</v>
      </c>
      <c r="S78" s="12">
        <f t="shared" si="32"/>
        <v>2344.1208000000001</v>
      </c>
      <c r="T78" s="11">
        <f t="shared" si="33"/>
        <v>0</v>
      </c>
      <c r="U78" s="11">
        <f t="shared" si="34"/>
        <v>0</v>
      </c>
      <c r="V78" s="11">
        <f t="shared" si="35"/>
        <v>5.3583138173302105</v>
      </c>
      <c r="W78" s="11">
        <f t="shared" si="36"/>
        <v>0</v>
      </c>
      <c r="X78" s="11">
        <f t="shared" si="37"/>
        <v>128.80562060889929</v>
      </c>
      <c r="Y78" s="11">
        <f t="shared" si="38"/>
        <v>0</v>
      </c>
      <c r="Z78" s="9">
        <f t="shared" si="39"/>
        <v>134.1639344262295</v>
      </c>
      <c r="AA78" s="9">
        <f t="shared" si="40"/>
        <v>2.2857142857142856</v>
      </c>
      <c r="AB78" s="10">
        <f t="shared" si="41"/>
        <v>39.936145454545461</v>
      </c>
      <c r="AC78" s="9">
        <f t="shared" si="42"/>
        <v>131.87822014051523</v>
      </c>
      <c r="AD78" s="8">
        <f t="shared" si="43"/>
        <v>5119.2727272727279</v>
      </c>
      <c r="AE78" s="7">
        <f t="shared" si="44"/>
        <v>2304.184654545455</v>
      </c>
    </row>
    <row r="79" spans="1:31" x14ac:dyDescent="0.25">
      <c r="A79" s="22">
        <f t="shared" ca="1" si="30"/>
        <v>46182</v>
      </c>
      <c r="B79" s="21" t="s">
        <v>2</v>
      </c>
      <c r="C79" s="20" t="s">
        <v>1</v>
      </c>
      <c r="D79" s="4" t="s">
        <v>85</v>
      </c>
      <c r="E79" s="3" t="str">
        <f>VLOOKUP(D79,'[1]ANALISIS (NEW)'!C:E,3,FALSE)</f>
        <v>5/16in TUB. A/C REFRIG.</v>
      </c>
      <c r="F79" s="19" t="str">
        <f>VLOOKUP(D79,'[1]ANALISIS (NEW)'!C:AX,48,FALSE)</f>
        <v>CONTITECH USA, INC.</v>
      </c>
      <c r="G79" s="15" t="str">
        <f>VLOOKUP(D:D,'[1]ANALISIS (NEW)'!C:BY,75,FALSE)</f>
        <v>MM</v>
      </c>
      <c r="H79" s="18" t="str">
        <f>VLOOKUP(D79,'[1]ANALISIS (NEW)'!C:BF,49,FALSE)</f>
        <v xml:space="preserve">US </v>
      </c>
      <c r="I79" s="17">
        <f>VLOOKUP(D79,'[1]ANALISIS (NEW)'!C:BF,50,FALSE)</f>
        <v>9</v>
      </c>
      <c r="J79" s="16">
        <f>VLOOKUP(D79,'[1]ANALISIS (NEW)'!C:BG,57,FALSE)*1000</f>
        <v>1.99</v>
      </c>
      <c r="K79" s="15">
        <f>VLOOKUP(D79,'[1]ANALISIS (NEW)'!C:BF,56,FALSE)</f>
        <v>175.71972727272728</v>
      </c>
      <c r="L79" s="14">
        <v>0</v>
      </c>
      <c r="M79" s="14">
        <f>VLOOKUP(D79,'[1]Inv Sem 23 pzas '!A:F,2,FALSE)/1000</f>
        <v>0</v>
      </c>
      <c r="N79" s="14">
        <f>VLOOKUP(D79,'[1]Inv Sem 23 pzas '!A:F,3,FALSE)/1000</f>
        <v>991</v>
      </c>
      <c r="O79" s="14">
        <f>VLOOKUP(D79,'[1]Inv Sem 23 pzas '!A:F,4,FALSE)/1000</f>
        <v>-65.122199999999992</v>
      </c>
      <c r="P79" s="14">
        <f>VLOOKUP(D79,'[1]Inv Sem 23 pzas '!A:F,5,FALSE)</f>
        <v>0</v>
      </c>
      <c r="Q79" s="14">
        <f>VLOOKUP(D79,'[1]Inv Sem 23 pzas '!A:F,6,FALSE)/1000</f>
        <v>625</v>
      </c>
      <c r="R79" s="13">
        <f t="shared" si="31"/>
        <v>1550.8778</v>
      </c>
      <c r="S79" s="12">
        <f t="shared" si="32"/>
        <v>3086.2468220000001</v>
      </c>
      <c r="T79" s="11">
        <f t="shared" si="33"/>
        <v>0</v>
      </c>
      <c r="U79" s="11">
        <f t="shared" si="34"/>
        <v>5.639662748064195</v>
      </c>
      <c r="V79" s="11">
        <f t="shared" si="35"/>
        <v>-0.37060266943691833</v>
      </c>
      <c r="W79" s="11">
        <f t="shared" si="36"/>
        <v>0</v>
      </c>
      <c r="X79" s="11">
        <f t="shared" si="37"/>
        <v>3.5568004213321109</v>
      </c>
      <c r="Y79" s="11">
        <f t="shared" si="38"/>
        <v>0</v>
      </c>
      <c r="Z79" s="9">
        <f t="shared" si="39"/>
        <v>8.8258604999593882</v>
      </c>
      <c r="AA79" s="9">
        <f t="shared" si="40"/>
        <v>2.2857142857142856</v>
      </c>
      <c r="AB79" s="10">
        <f t="shared" si="41"/>
        <v>799.27373090909089</v>
      </c>
      <c r="AC79" s="9">
        <f t="shared" si="42"/>
        <v>6.5401462142451026</v>
      </c>
      <c r="AD79" s="8">
        <f t="shared" si="43"/>
        <v>1149.2327090909093</v>
      </c>
      <c r="AE79" s="7">
        <f t="shared" si="44"/>
        <v>2286.9730910909097</v>
      </c>
    </row>
    <row r="80" spans="1:31" x14ac:dyDescent="0.25">
      <c r="A80" s="22">
        <f t="shared" ca="1" si="30"/>
        <v>46182</v>
      </c>
      <c r="B80" s="21" t="s">
        <v>2</v>
      </c>
      <c r="C80" s="20" t="s">
        <v>1</v>
      </c>
      <c r="D80" s="4" t="s">
        <v>84</v>
      </c>
      <c r="E80" s="3" t="str">
        <f>VLOOKUP(D80,'[1]ANALISIS (NEW)'!C:E,3,FALSE)</f>
        <v>BRKT/CLIP-PLASTIC CLIP</v>
      </c>
      <c r="F80" s="19" t="str">
        <f>VLOOKUP(D80,'[1]ANALISIS (NEW)'!C:AX,48,FALSE)</f>
        <v>ELITE PLASTIC PRODUCTS I</v>
      </c>
      <c r="G80" s="15" t="str">
        <f>VLOOKUP(D:D,'[1]ANALISIS (NEW)'!C:BY,75,FALSE)</f>
        <v>EA</v>
      </c>
      <c r="H80" s="18" t="str">
        <f>VLOOKUP(D80,'[1]ANALISIS (NEW)'!C:BF,49,FALSE)</f>
        <v xml:space="preserve">US </v>
      </c>
      <c r="I80" s="17">
        <f>VLOOKUP(D80,'[1]ANALISIS (NEW)'!C:BF,50,FALSE)</f>
        <v>9</v>
      </c>
      <c r="J80" s="16">
        <f>VLOOKUP(D80,'[1]ANALISIS (NEW)'!C:BG,57,FALSE)</f>
        <v>0.18640000000000001</v>
      </c>
      <c r="K80" s="15">
        <f>VLOOKUP(D80,'[1]ANALISIS (NEW)'!C:BF,56,FALSE)</f>
        <v>2177.6363636363635</v>
      </c>
      <c r="L80" s="14">
        <v>0</v>
      </c>
      <c r="M80" s="14">
        <f>VLOOKUP(D80,'[1]Inv Sem 23 pzas '!A:F,2,FALSE)</f>
        <v>0</v>
      </c>
      <c r="N80" s="14">
        <f>VLOOKUP(D80,'[1]Inv Sem 23 pzas '!A:F,3,FALSE)</f>
        <v>0</v>
      </c>
      <c r="O80" s="14">
        <f>VLOOKUP(D80,'[1]Inv Sem 23 pzas '!A:F,4,FALSE)</f>
        <v>2625</v>
      </c>
      <c r="P80" s="14">
        <f>VLOOKUP(D80,'[1]Inv Sem 23 pzas '!A:F,5,FALSE)</f>
        <v>0</v>
      </c>
      <c r="Q80" s="14">
        <f>VLOOKUP(D80,'[1]Inv Sem 23 pzas '!A:F,6,FALSE)</f>
        <v>13200</v>
      </c>
      <c r="R80" s="13">
        <f t="shared" si="31"/>
        <v>15825</v>
      </c>
      <c r="S80" s="12">
        <f t="shared" si="32"/>
        <v>2949.78</v>
      </c>
      <c r="T80" s="11">
        <f t="shared" si="33"/>
        <v>0</v>
      </c>
      <c r="U80" s="11">
        <f t="shared" si="34"/>
        <v>0</v>
      </c>
      <c r="V80" s="11">
        <f t="shared" si="35"/>
        <v>1.2054354178842783</v>
      </c>
      <c r="W80" s="11">
        <f t="shared" si="36"/>
        <v>0</v>
      </c>
      <c r="X80" s="11">
        <f t="shared" si="37"/>
        <v>6.061618101360942</v>
      </c>
      <c r="Y80" s="11">
        <f t="shared" si="38"/>
        <v>0</v>
      </c>
      <c r="Z80" s="9">
        <f t="shared" si="39"/>
        <v>7.2670535192452199</v>
      </c>
      <c r="AA80" s="9">
        <f t="shared" si="40"/>
        <v>2.2857142857142856</v>
      </c>
      <c r="AB80" s="10">
        <f t="shared" si="41"/>
        <v>927.79752727272728</v>
      </c>
      <c r="AC80" s="9">
        <f t="shared" si="42"/>
        <v>4.9813392335309343</v>
      </c>
      <c r="AD80" s="8">
        <f t="shared" si="43"/>
        <v>10847.545454545454</v>
      </c>
      <c r="AE80" s="7">
        <f t="shared" si="44"/>
        <v>2021.9824727272728</v>
      </c>
    </row>
    <row r="81" spans="1:31" x14ac:dyDescent="0.25">
      <c r="A81" s="22">
        <f t="shared" ca="1" si="30"/>
        <v>46182</v>
      </c>
      <c r="B81" s="21" t="s">
        <v>2</v>
      </c>
      <c r="C81" s="20" t="s">
        <v>1</v>
      </c>
      <c r="D81" s="4" t="s">
        <v>83</v>
      </c>
      <c r="E81" s="3" t="str">
        <f>VLOOKUP(D81,'[1]ANALISIS (NEW)'!C:E,3,FALSE)</f>
        <v>SLV HT ALU SELF WRAP SLV HT ALU SELF WRA</v>
      </c>
      <c r="F81" s="19" t="str">
        <f>VLOOKUP(D81,'[1]ANALISIS (NEW)'!C:AX,48,FALSE)</f>
        <v xml:space="preserve">FEDERAL-MOGUL POWERTRAIN- Qro </v>
      </c>
      <c r="G81" s="15" t="str">
        <f>VLOOKUP(D:D,'[1]ANALISIS (NEW)'!C:BY,75,FALSE)</f>
        <v>EA</v>
      </c>
      <c r="H81" s="18" t="str">
        <f>VLOOKUP(D81,'[1]ANALISIS (NEW)'!C:BF,49,FALSE)</f>
        <v xml:space="preserve">US </v>
      </c>
      <c r="I81" s="17">
        <f>VLOOKUP(D81,'[1]ANALISIS (NEW)'!C:BF,50,FALSE)</f>
        <v>9</v>
      </c>
      <c r="J81" s="16">
        <f>VLOOKUP(D81,'[1]ANALISIS (NEW)'!C:BG,57,FALSE)</f>
        <v>0.59639999999999993</v>
      </c>
      <c r="K81" s="15">
        <f>VLOOKUP(D81,'[1]ANALISIS (NEW)'!C:BF,56,FALSE)</f>
        <v>3785</v>
      </c>
      <c r="L81" s="14">
        <v>0</v>
      </c>
      <c r="M81" s="14">
        <f>VLOOKUP(D81,'[1]Inv Sem 23 pzas '!A:F,2,FALSE)</f>
        <v>0</v>
      </c>
      <c r="N81" s="14">
        <f>VLOOKUP(D81,'[1]Inv Sem 23 pzas '!A:F,3,FALSE)</f>
        <v>4500</v>
      </c>
      <c r="O81" s="14">
        <f>VLOOKUP(D81,'[1]Inv Sem 23 pzas '!A:F,4,FALSE)</f>
        <v>-131</v>
      </c>
      <c r="P81" s="14">
        <f>VLOOKUP(D81,'[1]Inv Sem 23 pzas '!A:F,5,FALSE)</f>
        <v>0</v>
      </c>
      <c r="Q81" s="14">
        <f>VLOOKUP(D81,'[1]Inv Sem 23 pzas '!A:F,6,FALSE)</f>
        <v>7500</v>
      </c>
      <c r="R81" s="13">
        <f t="shared" si="31"/>
        <v>11869</v>
      </c>
      <c r="S81" s="12">
        <f t="shared" si="32"/>
        <v>7078.6715999999988</v>
      </c>
      <c r="T81" s="11">
        <f t="shared" si="33"/>
        <v>0</v>
      </c>
      <c r="U81" s="11">
        <f t="shared" si="34"/>
        <v>1.1889035667107002</v>
      </c>
      <c r="V81" s="11">
        <f t="shared" si="35"/>
        <v>-3.4610303830911494E-2</v>
      </c>
      <c r="W81" s="11">
        <f t="shared" si="36"/>
        <v>0</v>
      </c>
      <c r="X81" s="11">
        <f t="shared" si="37"/>
        <v>1.9815059445178336</v>
      </c>
      <c r="Y81" s="11">
        <f t="shared" si="38"/>
        <v>0</v>
      </c>
      <c r="Z81" s="9">
        <f t="shared" si="39"/>
        <v>3.1357992073976222</v>
      </c>
      <c r="AA81" s="9">
        <f t="shared" si="40"/>
        <v>2.2857142857142856</v>
      </c>
      <c r="AB81" s="10">
        <f t="shared" si="41"/>
        <v>5159.7119999999986</v>
      </c>
      <c r="AC81" s="9">
        <f t="shared" si="42"/>
        <v>0.8500849216833366</v>
      </c>
      <c r="AD81" s="8">
        <f t="shared" si="43"/>
        <v>3217.5714285714289</v>
      </c>
      <c r="AE81" s="7">
        <f t="shared" si="44"/>
        <v>1918.9595999999999</v>
      </c>
    </row>
    <row r="82" spans="1:31" x14ac:dyDescent="0.25">
      <c r="A82" s="22">
        <f t="shared" ca="1" si="30"/>
        <v>46182</v>
      </c>
      <c r="B82" s="21" t="s">
        <v>2</v>
      </c>
      <c r="C82" s="20" t="s">
        <v>1</v>
      </c>
      <c r="D82" s="4" t="s">
        <v>82</v>
      </c>
      <c r="E82" s="3" t="str">
        <f>VLOOKUP(D82,'[1]ANALISIS (NEW)'!C:E,3,FALSE)</f>
        <v>STUD</v>
      </c>
      <c r="F82" s="19" t="str">
        <f>VLOOKUP(D82,'[1]ANALISIS (NEW)'!C:AX,48,FALSE)</f>
        <v>KAMAX INC.</v>
      </c>
      <c r="G82" s="15" t="str">
        <f>VLOOKUP(D:D,'[1]ANALISIS (NEW)'!C:BY,75,FALSE)</f>
        <v>EA</v>
      </c>
      <c r="H82" s="18" t="str">
        <f>VLOOKUP(D82,'[1]ANALISIS (NEW)'!C:BF,49,FALSE)</f>
        <v xml:space="preserve">US </v>
      </c>
      <c r="I82" s="17">
        <f>VLOOKUP(D82,'[1]ANALISIS (NEW)'!C:BF,50,FALSE)</f>
        <v>9</v>
      </c>
      <c r="J82" s="16">
        <f>VLOOKUP(D82,'[1]ANALISIS (NEW)'!C:BG,57,FALSE)</f>
        <v>6.6170000000000007E-2</v>
      </c>
      <c r="K82" s="15">
        <f>VLOOKUP(D82,'[1]ANALISIS (NEW)'!C:BF,56,FALSE)+1</f>
        <v>6717.636363636364</v>
      </c>
      <c r="L82" s="14">
        <v>21000</v>
      </c>
      <c r="M82" s="14">
        <f>VLOOKUP(D82,'[1]Inv Sem 23 pzas '!A:F,2,FALSE)</f>
        <v>0</v>
      </c>
      <c r="N82" s="14">
        <f>VLOOKUP(D82,'[1]Inv Sem 23 pzas '!A:F,3,FALSE)</f>
        <v>4500</v>
      </c>
      <c r="O82" s="14">
        <f>VLOOKUP(D82,'[1]Inv Sem 23 pzas '!A:F,4,FALSE)</f>
        <v>4767</v>
      </c>
      <c r="P82" s="14">
        <f>VLOOKUP(D82,'[1]Inv Sem 23 pzas '!A:F,5,FALSE)</f>
        <v>0</v>
      </c>
      <c r="Q82" s="14">
        <f>VLOOKUP(D82,'[1]Inv Sem 23 pzas '!A:F,6,FALSE)</f>
        <v>13500</v>
      </c>
      <c r="R82" s="13">
        <f t="shared" si="31"/>
        <v>43767</v>
      </c>
      <c r="S82" s="12">
        <f t="shared" si="32"/>
        <v>2896.0623900000005</v>
      </c>
      <c r="T82" s="11">
        <f t="shared" si="33"/>
        <v>0</v>
      </c>
      <c r="U82" s="11">
        <f t="shared" si="34"/>
        <v>0.6698784745716837</v>
      </c>
      <c r="V82" s="11">
        <f t="shared" si="35"/>
        <v>0.70962459739627026</v>
      </c>
      <c r="W82" s="11">
        <f t="shared" si="36"/>
        <v>0</v>
      </c>
      <c r="X82" s="11">
        <f t="shared" si="37"/>
        <v>2.0096354237150513</v>
      </c>
      <c r="Y82" s="11">
        <f t="shared" si="38"/>
        <v>3.1260995480011906</v>
      </c>
      <c r="Z82" s="9">
        <f t="shared" si="39"/>
        <v>6.5152380436841959</v>
      </c>
      <c r="AA82" s="9">
        <f t="shared" si="40"/>
        <v>2.2857142857142856</v>
      </c>
      <c r="AB82" s="10">
        <f t="shared" si="41"/>
        <v>1016.0137101298702</v>
      </c>
      <c r="AC82" s="9">
        <f t="shared" si="42"/>
        <v>4.2295237579699103</v>
      </c>
      <c r="AD82" s="8">
        <f t="shared" si="43"/>
        <v>28412.402597402597</v>
      </c>
      <c r="AE82" s="7">
        <f t="shared" si="44"/>
        <v>1880.0486798701299</v>
      </c>
    </row>
    <row r="83" spans="1:31" x14ac:dyDescent="0.25">
      <c r="A83" s="22">
        <f t="shared" ca="1" si="30"/>
        <v>46182</v>
      </c>
      <c r="B83" s="21" t="s">
        <v>2</v>
      </c>
      <c r="C83" s="20" t="s">
        <v>1</v>
      </c>
      <c r="D83" s="4" t="s">
        <v>81</v>
      </c>
      <c r="E83" s="3" t="str">
        <f>VLOOKUP(D83,'[1]ANALISIS (NEW)'!C:E,3,FALSE)</f>
        <v>BRKT/CLIP-PLASTIC CLIP</v>
      </c>
      <c r="F83" s="19" t="str">
        <f>VLOOKUP(D83,'[1]ANALISIS (NEW)'!C:AX,48,FALSE)</f>
        <v>HELLERMANN TYTON CORPORA</v>
      </c>
      <c r="G83" s="15" t="str">
        <f>VLOOKUP(D:D,'[1]ANALISIS (NEW)'!C:BY,75,FALSE)</f>
        <v>EA</v>
      </c>
      <c r="H83" s="18" t="str">
        <f>VLOOKUP(D83,'[1]ANALISIS (NEW)'!C:BF,49,FALSE)</f>
        <v xml:space="preserve">US </v>
      </c>
      <c r="I83" s="17">
        <f>VLOOKUP(D83,'[1]ANALISIS (NEW)'!C:BF,50,FALSE)</f>
        <v>9</v>
      </c>
      <c r="J83" s="16">
        <f>VLOOKUP(D83,'[1]ANALISIS (NEW)'!C:BG,57,FALSE)</f>
        <v>0.21</v>
      </c>
      <c r="K83" s="15">
        <f>VLOOKUP(D83,'[1]ANALISIS (NEW)'!C:BF,56,FALSE)+1</f>
        <v>1.1818181818181819</v>
      </c>
      <c r="L83" s="14">
        <v>0</v>
      </c>
      <c r="M83" s="14">
        <f>VLOOKUP(D83,'[1]Inv Sem 23 pzas '!A:F,2,FALSE)</f>
        <v>0</v>
      </c>
      <c r="N83" s="14">
        <f>VLOOKUP(D83,'[1]Inv Sem 23 pzas '!A:F,3,FALSE)</f>
        <v>2000</v>
      </c>
      <c r="O83" s="14">
        <f>VLOOKUP(D83,'[1]Inv Sem 23 pzas '!A:F,4,FALSE)</f>
        <v>113</v>
      </c>
      <c r="P83" s="14">
        <f>VLOOKUP(D83,'[1]Inv Sem 23 pzas '!A:F,5,FALSE)</f>
        <v>0</v>
      </c>
      <c r="Q83" s="14">
        <f>VLOOKUP(D83,'[1]Inv Sem 23 pzas '!A:F,6,FALSE)</f>
        <v>6750</v>
      </c>
      <c r="R83" s="13">
        <f t="shared" si="31"/>
        <v>8863</v>
      </c>
      <c r="S83" s="12">
        <f t="shared" si="32"/>
        <v>1861.23</v>
      </c>
      <c r="T83" s="11">
        <f t="shared" si="33"/>
        <v>0</v>
      </c>
      <c r="U83" s="11">
        <f t="shared" si="34"/>
        <v>1692.3076923076922</v>
      </c>
      <c r="V83" s="11">
        <f t="shared" si="35"/>
        <v>95.615384615384613</v>
      </c>
      <c r="W83" s="11">
        <f t="shared" si="36"/>
        <v>0</v>
      </c>
      <c r="X83" s="11">
        <f t="shared" si="37"/>
        <v>5711.538461538461</v>
      </c>
      <c r="Y83" s="11">
        <f t="shared" si="38"/>
        <v>0</v>
      </c>
      <c r="Z83" s="9">
        <f t="shared" si="39"/>
        <v>7499.4615384615372</v>
      </c>
      <c r="AA83" s="9">
        <f t="shared" si="40"/>
        <v>2.2857142857142856</v>
      </c>
      <c r="AB83" s="10">
        <f t="shared" si="41"/>
        <v>0.56727272727272726</v>
      </c>
      <c r="AC83" s="9">
        <f t="shared" si="42"/>
        <v>7497.1758241758225</v>
      </c>
      <c r="AD83" s="8">
        <f t="shared" si="43"/>
        <v>8860.2987012986996</v>
      </c>
      <c r="AE83" s="7">
        <f t="shared" si="44"/>
        <v>1860.6627272727269</v>
      </c>
    </row>
    <row r="84" spans="1:31" x14ac:dyDescent="0.25">
      <c r="A84" s="22">
        <f t="shared" ca="1" si="30"/>
        <v>46182</v>
      </c>
      <c r="B84" s="21" t="s">
        <v>2</v>
      </c>
      <c r="C84" s="20" t="s">
        <v>1</v>
      </c>
      <c r="D84" s="4" t="s">
        <v>80</v>
      </c>
      <c r="E84" s="3" t="str">
        <f>VLOOKUP(D84,'[1]ANALISIS (NEW)'!C:E,3,FALSE)</f>
        <v>HOSE-A/C FORMED-BARRIER 13/32 4898 Galax</v>
      </c>
      <c r="F84" s="19" t="str">
        <f>VLOOKUP(D84,'[1]ANALISIS (NEW)'!C:AX,48,FALSE)</f>
        <v>CONTITECH NORTH AMERICA,</v>
      </c>
      <c r="G84" s="15" t="str">
        <f>VLOOKUP(D:D,'[1]ANALISIS (NEW)'!C:BY,75,FALSE)</f>
        <v>EA</v>
      </c>
      <c r="H84" s="18" t="str">
        <f>VLOOKUP(D84,'[1]ANALISIS (NEW)'!C:BF,49,FALSE)</f>
        <v xml:space="preserve">US </v>
      </c>
      <c r="I84" s="17">
        <f>VLOOKUP(D84,'[1]ANALISIS (NEW)'!C:BF,50,FALSE)</f>
        <v>9</v>
      </c>
      <c r="J84" s="16">
        <f>VLOOKUP(D84,'[1]ANALISIS (NEW)'!C:BG,57,FALSE)</f>
        <v>2.1840000000000002</v>
      </c>
      <c r="K84" s="15">
        <f>VLOOKUP(D84,'[1]ANALISIS (NEW)'!C:BF,56,FALSE)</f>
        <v>1</v>
      </c>
      <c r="L84" s="14">
        <v>0</v>
      </c>
      <c r="M84" s="14">
        <f>VLOOKUP(D84,'[1]Inv Sem 23 pzas '!A:F,2,FALSE)</f>
        <v>0</v>
      </c>
      <c r="N84" s="14">
        <f>VLOOKUP(D84,'[1]Inv Sem 23 pzas '!A:F,3,FALSE)</f>
        <v>500</v>
      </c>
      <c r="O84" s="14">
        <f>VLOOKUP(D84,'[1]Inv Sem 23 pzas '!A:F,4,FALSE)</f>
        <v>0</v>
      </c>
      <c r="P84" s="14">
        <f>VLOOKUP(D84,'[1]Inv Sem 23 pzas '!A:F,5,FALSE)</f>
        <v>0</v>
      </c>
      <c r="Q84" s="14">
        <f>VLOOKUP(D84,'[1]Inv Sem 23 pzas '!A:F,6,FALSE)</f>
        <v>326</v>
      </c>
      <c r="R84" s="13">
        <f t="shared" si="31"/>
        <v>826</v>
      </c>
      <c r="S84" s="12">
        <f t="shared" si="32"/>
        <v>1803.9840000000002</v>
      </c>
      <c r="T84" s="11">
        <f t="shared" si="33"/>
        <v>0</v>
      </c>
      <c r="U84" s="11">
        <f t="shared" si="34"/>
        <v>500</v>
      </c>
      <c r="V84" s="11">
        <f t="shared" si="35"/>
        <v>0</v>
      </c>
      <c r="W84" s="11">
        <f t="shared" si="36"/>
        <v>0</v>
      </c>
      <c r="X84" s="11">
        <f t="shared" si="37"/>
        <v>326</v>
      </c>
      <c r="Y84" s="11">
        <f t="shared" si="38"/>
        <v>0</v>
      </c>
      <c r="Z84" s="9">
        <f t="shared" si="39"/>
        <v>826</v>
      </c>
      <c r="AA84" s="9">
        <f t="shared" si="40"/>
        <v>2.2857142857142856</v>
      </c>
      <c r="AB84" s="10">
        <f t="shared" si="41"/>
        <v>4.992</v>
      </c>
      <c r="AC84" s="9">
        <f t="shared" si="42"/>
        <v>823.71428571428567</v>
      </c>
      <c r="AD84" s="8">
        <f t="shared" si="43"/>
        <v>823.71428571428567</v>
      </c>
      <c r="AE84" s="7">
        <f t="shared" si="44"/>
        <v>1798.992</v>
      </c>
    </row>
    <row r="85" spans="1:31" x14ac:dyDescent="0.25">
      <c r="A85" s="22">
        <f t="shared" ca="1" si="30"/>
        <v>46182</v>
      </c>
      <c r="B85" s="21" t="s">
        <v>2</v>
      </c>
      <c r="C85" s="20" t="s">
        <v>1</v>
      </c>
      <c r="D85" s="4" t="s">
        <v>79</v>
      </c>
      <c r="E85" s="3" t="str">
        <f>VLOOKUP(D85,'[1]ANALISIS (NEW)'!C:E,3,FALSE)</f>
        <v>GROMMET-A/C TUBE BRKT</v>
      </c>
      <c r="F85" s="19" t="str">
        <f>VLOOKUP(D85,'[1]ANALISIS (NEW)'!C:AX,48,FALSE)</f>
        <v>SINCLAIR &amp; RUSH, INC.</v>
      </c>
      <c r="G85" s="15" t="str">
        <f>VLOOKUP(D:D,'[1]ANALISIS (NEW)'!C:BY,75,FALSE)</f>
        <v>EA</v>
      </c>
      <c r="H85" s="18" t="str">
        <f>VLOOKUP(D85,'[1]ANALISIS (NEW)'!C:BF,49,FALSE)</f>
        <v xml:space="preserve">US </v>
      </c>
      <c r="I85" s="17">
        <f>VLOOKUP(D85,'[1]ANALISIS (NEW)'!C:BF,50,FALSE)</f>
        <v>9</v>
      </c>
      <c r="J85" s="16">
        <f>VLOOKUP(D85,'[1]ANALISIS (NEW)'!C:BG,57,FALSE)</f>
        <v>0.22019999999999998</v>
      </c>
      <c r="K85" s="15">
        <f>VLOOKUP(D85,'[1]ANALISIS (NEW)'!C:BF,56,FALSE)</f>
        <v>2000.1818181818182</v>
      </c>
      <c r="L85" s="14">
        <v>5000</v>
      </c>
      <c r="M85" s="14">
        <f>VLOOKUP(D85,'[1]Inv Sem 23 pzas '!A:F,2,FALSE)</f>
        <v>0</v>
      </c>
      <c r="N85" s="14">
        <f>VLOOKUP(D85,'[1]Inv Sem 23 pzas '!A:F,3,FALSE)</f>
        <v>2000</v>
      </c>
      <c r="O85" s="14">
        <f>VLOOKUP(D85,'[1]Inv Sem 23 pzas '!A:F,4,FALSE)</f>
        <v>354</v>
      </c>
      <c r="P85" s="14">
        <f>VLOOKUP(D85,'[1]Inv Sem 23 pzas '!A:F,5,FALSE)</f>
        <v>0</v>
      </c>
      <c r="Q85" s="14">
        <f>VLOOKUP(D85,'[1]Inv Sem 23 pzas '!A:F,6,FALSE)</f>
        <v>3800</v>
      </c>
      <c r="R85" s="13">
        <f t="shared" si="31"/>
        <v>11154</v>
      </c>
      <c r="S85" s="12">
        <f t="shared" si="32"/>
        <v>2456.1107999999999</v>
      </c>
      <c r="T85" s="11">
        <f t="shared" si="33"/>
        <v>0</v>
      </c>
      <c r="U85" s="11">
        <f t="shared" si="34"/>
        <v>0.99990909917280246</v>
      </c>
      <c r="V85" s="11">
        <f t="shared" si="35"/>
        <v>0.17698391055358603</v>
      </c>
      <c r="W85" s="11">
        <f t="shared" si="36"/>
        <v>0</v>
      </c>
      <c r="X85" s="11">
        <f t="shared" si="37"/>
        <v>1.8998272884283247</v>
      </c>
      <c r="Y85" s="11">
        <f t="shared" si="38"/>
        <v>2.4997727479320062</v>
      </c>
      <c r="Z85" s="9">
        <f t="shared" si="39"/>
        <v>5.5764930460867195</v>
      </c>
      <c r="AA85" s="9">
        <f t="shared" si="40"/>
        <v>2.2857142857142856</v>
      </c>
      <c r="AB85" s="10">
        <f t="shared" si="41"/>
        <v>1006.720083116883</v>
      </c>
      <c r="AC85" s="9">
        <f t="shared" si="42"/>
        <v>3.2907787603724339</v>
      </c>
      <c r="AD85" s="8">
        <f t="shared" si="43"/>
        <v>6582.1558441558445</v>
      </c>
      <c r="AE85" s="7">
        <f t="shared" si="44"/>
        <v>1449.3907168831167</v>
      </c>
    </row>
    <row r="86" spans="1:31" x14ac:dyDescent="0.25">
      <c r="A86" s="22">
        <f t="shared" ca="1" si="30"/>
        <v>46182</v>
      </c>
      <c r="B86" s="21" t="s">
        <v>2</v>
      </c>
      <c r="C86" s="20" t="s">
        <v>1</v>
      </c>
      <c r="D86" s="4" t="s">
        <v>78</v>
      </c>
      <c r="E86" s="3" t="str">
        <f>VLOOKUP(D86,'[1]ANALISIS (NEW)'!C:E,3,FALSE)</f>
        <v>LABEL-A/C LABEL -  A/C</v>
      </c>
      <c r="F86" s="19" t="str">
        <f>VLOOKUP(D86,'[1]ANALISIS (NEW)'!C:AX,48,FALSE)</f>
        <v>GENERAL LABELS AND PRINT</v>
      </c>
      <c r="G86" s="15" t="str">
        <f>VLOOKUP(D:D,'[1]ANALISIS (NEW)'!C:BY,75,FALSE)</f>
        <v>EA</v>
      </c>
      <c r="H86" s="18" t="str">
        <f>VLOOKUP(D86,'[1]ANALISIS (NEW)'!C:BF,49,FALSE)</f>
        <v xml:space="preserve">US </v>
      </c>
      <c r="I86" s="17">
        <f>VLOOKUP(D86,'[1]ANALISIS (NEW)'!C:BF,50,FALSE)</f>
        <v>9</v>
      </c>
      <c r="J86" s="16">
        <f>VLOOKUP(D86,'[1]ANALISIS (NEW)'!C:BG,57,FALSE)</f>
        <v>5.7579999999999999E-2</v>
      </c>
      <c r="K86" s="15">
        <f>VLOOKUP(D86,'[1]ANALISIS (NEW)'!C:BF,56,FALSE)</f>
        <v>0.72727272727272729</v>
      </c>
      <c r="L86" s="14">
        <v>0</v>
      </c>
      <c r="M86" s="14">
        <f>VLOOKUP(D86,'[1]Inv Sem 23 pzas '!A:F,2,FALSE)</f>
        <v>0</v>
      </c>
      <c r="N86" s="14">
        <f>VLOOKUP(D86,'[1]Inv Sem 23 pzas '!A:F,3,FALSE)</f>
        <v>0</v>
      </c>
      <c r="O86" s="14">
        <f>VLOOKUP(D86,'[1]Inv Sem 23 pzas '!A:F,4,FALSE)</f>
        <v>8999</v>
      </c>
      <c r="P86" s="14">
        <f>VLOOKUP(D86,'[1]Inv Sem 23 pzas '!A:F,5,FALSE)</f>
        <v>0</v>
      </c>
      <c r="Q86" s="14">
        <f>VLOOKUP(D86,'[1]Inv Sem 23 pzas '!A:F,6,FALSE)</f>
        <v>15500</v>
      </c>
      <c r="R86" s="13">
        <f t="shared" si="31"/>
        <v>24499</v>
      </c>
      <c r="S86" s="12">
        <f t="shared" si="32"/>
        <v>1410.6524199999999</v>
      </c>
      <c r="T86" s="11">
        <f t="shared" si="33"/>
        <v>0</v>
      </c>
      <c r="U86" s="11">
        <f t="shared" si="34"/>
        <v>0</v>
      </c>
      <c r="V86" s="11">
        <f t="shared" si="35"/>
        <v>12373.625</v>
      </c>
      <c r="W86" s="11">
        <f t="shared" si="36"/>
        <v>0</v>
      </c>
      <c r="X86" s="11">
        <f t="shared" si="37"/>
        <v>21312.5</v>
      </c>
      <c r="Y86" s="11">
        <f t="shared" si="38"/>
        <v>0</v>
      </c>
      <c r="Z86" s="9">
        <f t="shared" si="39"/>
        <v>33686.125</v>
      </c>
      <c r="AA86" s="9">
        <f t="shared" si="40"/>
        <v>2.2857142857142856</v>
      </c>
      <c r="AB86" s="10">
        <f t="shared" si="41"/>
        <v>9.5717402597402593E-2</v>
      </c>
      <c r="AC86" s="9">
        <f t="shared" si="42"/>
        <v>33683.839285714283</v>
      </c>
      <c r="AD86" s="8">
        <f t="shared" si="43"/>
        <v>24497.337662337661</v>
      </c>
      <c r="AE86" s="7">
        <f t="shared" si="44"/>
        <v>1410.5567025974026</v>
      </c>
    </row>
    <row r="87" spans="1:31" x14ac:dyDescent="0.25">
      <c r="A87" s="22">
        <f t="shared" ca="1" si="30"/>
        <v>46182</v>
      </c>
      <c r="B87" s="21" t="s">
        <v>2</v>
      </c>
      <c r="C87" s="20" t="s">
        <v>1</v>
      </c>
      <c r="D87" s="4" t="s">
        <v>77</v>
      </c>
      <c r="E87" s="3" t="str">
        <f>VLOOKUP(D87,'[1]ANALISIS (NEW)'!C:E,3,FALSE)</f>
        <v>O-RING FLUID TRANSPORT A/C Fluid Transpo</v>
      </c>
      <c r="F87" s="19" t="str">
        <f>VLOOKUP(D87,'[1]ANALISIS (NEW)'!C:AX,48,FALSE)</f>
        <v>PARKER HANNIFIN CORP</v>
      </c>
      <c r="G87" s="15" t="str">
        <f>VLOOKUP(D:D,'[1]ANALISIS (NEW)'!C:BY,75,FALSE)</f>
        <v>EA</v>
      </c>
      <c r="H87" s="18" t="str">
        <f>VLOOKUP(D87,'[1]ANALISIS (NEW)'!C:BF,49,FALSE)</f>
        <v xml:space="preserve">US </v>
      </c>
      <c r="I87" s="17">
        <f>VLOOKUP(D87,'[1]ANALISIS (NEW)'!C:BF,50,FALSE)</f>
        <v>9</v>
      </c>
      <c r="J87" s="16">
        <f>VLOOKUP(D87,'[1]ANALISIS (NEW)'!C:BG,57,FALSE)</f>
        <v>5.9499999999999997E-2</v>
      </c>
      <c r="K87" s="15">
        <f>VLOOKUP(D87,'[1]ANALISIS (NEW)'!C:BF,56,FALSE)</f>
        <v>1692.2727272727273</v>
      </c>
      <c r="L87" s="14">
        <v>0</v>
      </c>
      <c r="M87" s="14">
        <f>VLOOKUP(D87,'[1]Inv Sem 23 pzas '!A:F,2,FALSE)</f>
        <v>0</v>
      </c>
      <c r="N87" s="14">
        <f>VLOOKUP(D87,'[1]Inv Sem 23 pzas '!A:F,3,FALSE)</f>
        <v>0</v>
      </c>
      <c r="O87" s="14">
        <f>VLOOKUP(D87,'[1]Inv Sem 23 pzas '!A:F,4,FALSE)</f>
        <v>9415</v>
      </c>
      <c r="P87" s="14">
        <f>VLOOKUP(D87,'[1]Inv Sem 23 pzas '!A:F,5,FALSE)</f>
        <v>0</v>
      </c>
      <c r="Q87" s="14">
        <f>VLOOKUP(D87,'[1]Inv Sem 23 pzas '!A:F,6,FALSE)</f>
        <v>18042</v>
      </c>
      <c r="R87" s="13">
        <f t="shared" si="31"/>
        <v>27457</v>
      </c>
      <c r="S87" s="12">
        <f t="shared" si="32"/>
        <v>1633.6914999999999</v>
      </c>
      <c r="T87" s="11">
        <f t="shared" si="33"/>
        <v>0</v>
      </c>
      <c r="U87" s="11">
        <f t="shared" si="34"/>
        <v>0</v>
      </c>
      <c r="V87" s="11">
        <f t="shared" si="35"/>
        <v>5.5635240397528873</v>
      </c>
      <c r="W87" s="11">
        <f t="shared" si="36"/>
        <v>0</v>
      </c>
      <c r="X87" s="11">
        <f t="shared" si="37"/>
        <v>10.661402095084609</v>
      </c>
      <c r="Y87" s="11">
        <f t="shared" si="38"/>
        <v>0</v>
      </c>
      <c r="Z87" s="9">
        <f t="shared" si="39"/>
        <v>16.224926134837496</v>
      </c>
      <c r="AA87" s="9">
        <f t="shared" si="40"/>
        <v>2.2857142857142856</v>
      </c>
      <c r="AB87" s="10">
        <f t="shared" si="41"/>
        <v>230.14909090909089</v>
      </c>
      <c r="AC87" s="9">
        <f t="shared" si="42"/>
        <v>13.939211849123211</v>
      </c>
      <c r="AD87" s="8">
        <f t="shared" si="43"/>
        <v>23588.948051948053</v>
      </c>
      <c r="AE87" s="7">
        <f t="shared" si="44"/>
        <v>1403.5424090909091</v>
      </c>
    </row>
    <row r="88" spans="1:31" x14ac:dyDescent="0.25">
      <c r="A88" s="22">
        <f t="shared" ca="1" si="30"/>
        <v>46182</v>
      </c>
      <c r="B88" s="21" t="s">
        <v>2</v>
      </c>
      <c r="C88" s="20" t="s">
        <v>1</v>
      </c>
      <c r="D88" s="4" t="s">
        <v>76</v>
      </c>
      <c r="E88" s="3" t="str">
        <f>VLOOKUP(D88,'[1]ANALISIS (NEW)'!C:E,3,FALSE)</f>
        <v>GROMMET-A/C TUBE BRKT</v>
      </c>
      <c r="F88" s="19" t="str">
        <f>VLOOKUP(D88,'[1]ANALISIS (NEW)'!C:AX,48,FALSE)</f>
        <v>SINCLAIR &amp; RUSH, INC.</v>
      </c>
      <c r="G88" s="15" t="str">
        <f>VLOOKUP(D:D,'[1]ANALISIS (NEW)'!C:BY,75,FALSE)</f>
        <v>EA</v>
      </c>
      <c r="H88" s="18" t="str">
        <f>VLOOKUP(D88,'[1]ANALISIS (NEW)'!C:BF,49,FALSE)</f>
        <v xml:space="preserve">US </v>
      </c>
      <c r="I88" s="17">
        <f>VLOOKUP(D88,'[1]ANALISIS (NEW)'!C:BF,50,FALSE)</f>
        <v>9</v>
      </c>
      <c r="J88" s="16">
        <f>VLOOKUP(D88,'[1]ANALISIS (NEW)'!C:BG,57,FALSE)</f>
        <v>0.16550000000000001</v>
      </c>
      <c r="K88" s="15">
        <f>VLOOKUP(D88,'[1]ANALISIS (NEW)'!C:BF,56,FALSE)</f>
        <v>5393.636363636364</v>
      </c>
      <c r="L88" s="14">
        <v>5000</v>
      </c>
      <c r="M88" s="14">
        <f>VLOOKUP(D88,'[1]Inv Sem 23 pzas '!A:F,2,FALSE)</f>
        <v>0</v>
      </c>
      <c r="N88" s="14">
        <f>VLOOKUP(D88,'[1]Inv Sem 23 pzas '!A:F,3,FALSE)</f>
        <v>6250</v>
      </c>
      <c r="O88" s="14">
        <f>VLOOKUP(D88,'[1]Inv Sem 23 pzas '!A:F,4,FALSE)</f>
        <v>1321</v>
      </c>
      <c r="P88" s="14">
        <f>VLOOKUP(D88,'[1]Inv Sem 23 pzas '!A:F,5,FALSE)</f>
        <v>0</v>
      </c>
      <c r="Q88" s="14">
        <f>VLOOKUP(D88,'[1]Inv Sem 23 pzas '!A:F,6,FALSE)</f>
        <v>7500</v>
      </c>
      <c r="R88" s="13">
        <f t="shared" si="31"/>
        <v>20071</v>
      </c>
      <c r="S88" s="12">
        <f t="shared" si="32"/>
        <v>3321.7505000000001</v>
      </c>
      <c r="T88" s="11">
        <f t="shared" si="33"/>
        <v>0</v>
      </c>
      <c r="U88" s="11">
        <f t="shared" si="34"/>
        <v>1.1587729647733018</v>
      </c>
      <c r="V88" s="11">
        <f t="shared" si="35"/>
        <v>0.24491825383448507</v>
      </c>
      <c r="W88" s="11">
        <f t="shared" si="36"/>
        <v>0</v>
      </c>
      <c r="X88" s="11">
        <f t="shared" si="37"/>
        <v>1.3905275577279621</v>
      </c>
      <c r="Y88" s="11">
        <f t="shared" si="38"/>
        <v>0.92701837181864144</v>
      </c>
      <c r="Z88" s="9">
        <f t="shared" si="39"/>
        <v>3.7212371481543904</v>
      </c>
      <c r="AA88" s="9">
        <f t="shared" si="40"/>
        <v>2.2857142857142856</v>
      </c>
      <c r="AB88" s="10">
        <f t="shared" si="41"/>
        <v>2040.3355844155847</v>
      </c>
      <c r="AC88" s="9">
        <f t="shared" si="42"/>
        <v>1.4355228624401049</v>
      </c>
      <c r="AD88" s="8">
        <f t="shared" si="43"/>
        <v>7742.6883116883118</v>
      </c>
      <c r="AE88" s="7">
        <f t="shared" si="44"/>
        <v>1281.4149155844157</v>
      </c>
    </row>
    <row r="89" spans="1:31" x14ac:dyDescent="0.25">
      <c r="A89" s="22">
        <f t="shared" ca="1" si="30"/>
        <v>46182</v>
      </c>
      <c r="B89" s="21" t="s">
        <v>2</v>
      </c>
      <c r="C89" s="20" t="s">
        <v>1</v>
      </c>
      <c r="D89" s="4" t="s">
        <v>75</v>
      </c>
      <c r="E89" s="3" t="str">
        <f>VLOOKUP(D89,'[1]ANALISIS (NEW)'!C:E,3,FALSE)</f>
        <v>STUD M8X12.5+M8X16.5 PIL SHLDR</v>
      </c>
      <c r="F89" s="19" t="str">
        <f>VLOOKUP(D89,'[1]ANALISIS (NEW)'!C:AX,48,FALSE)</f>
        <v>KAMAX INC.</v>
      </c>
      <c r="G89" s="15" t="str">
        <f>VLOOKUP(D:D,'[1]ANALISIS (NEW)'!C:BY,75,FALSE)</f>
        <v>EA</v>
      </c>
      <c r="H89" s="18" t="str">
        <f>VLOOKUP(D89,'[1]ANALISIS (NEW)'!C:BF,49,FALSE)</f>
        <v xml:space="preserve">US </v>
      </c>
      <c r="I89" s="17">
        <f>VLOOKUP(D89,'[1]ANALISIS (NEW)'!C:BF,50,FALSE)</f>
        <v>9</v>
      </c>
      <c r="J89" s="16">
        <f>VLOOKUP(D89,'[1]ANALISIS (NEW)'!C:BG,57,FALSE)</f>
        <v>7.2249999999999995E-2</v>
      </c>
      <c r="K89" s="15">
        <f>VLOOKUP(D89,'[1]ANALISIS (NEW)'!C:BF,56,FALSE)</f>
        <v>31102.81818181818</v>
      </c>
      <c r="L89" s="14">
        <v>88000</v>
      </c>
      <c r="M89" s="14">
        <f>VLOOKUP(D89,'[1]Inv Sem 23 pzas '!A:F,2,FALSE)/1000</f>
        <v>0</v>
      </c>
      <c r="N89" s="14">
        <f>VLOOKUP(D89,'[1]Inv Sem 23 pzas '!A:F,3,FALSE)/1000</f>
        <v>67</v>
      </c>
      <c r="O89" s="14">
        <f>VLOOKUP(D89,'[1]Inv Sem 23 pzas '!A:F,4,FALSE)/1000</f>
        <v>16.260000000000002</v>
      </c>
      <c r="P89" s="14">
        <f>VLOOKUP(D89,'[1]Inv Sem 23 pzas '!A:F,5,FALSE)</f>
        <v>0</v>
      </c>
      <c r="Q89" s="14">
        <f>VLOOKUP(D89,'[1]Inv Sem 23 pzas '!A:F,6,FALSE)/1000</f>
        <v>37</v>
      </c>
      <c r="R89" s="13">
        <f t="shared" si="31"/>
        <v>88120.26</v>
      </c>
      <c r="S89" s="12">
        <f t="shared" si="32"/>
        <v>6366.6887849999994</v>
      </c>
      <c r="T89" s="11">
        <f t="shared" si="33"/>
        <v>0</v>
      </c>
      <c r="U89" s="11">
        <f t="shared" si="34"/>
        <v>2.1541456342745909E-3</v>
      </c>
      <c r="V89" s="11">
        <f t="shared" si="35"/>
        <v>5.2278220915380372E-4</v>
      </c>
      <c r="W89" s="11">
        <f t="shared" si="36"/>
        <v>0</v>
      </c>
      <c r="X89" s="11">
        <f t="shared" si="37"/>
        <v>1.18960281295761E-3</v>
      </c>
      <c r="Y89" s="11">
        <f t="shared" si="38"/>
        <v>2.8293256091964776</v>
      </c>
      <c r="Z89" s="9">
        <f t="shared" si="39"/>
        <v>2.8331921398528634</v>
      </c>
      <c r="AA89" s="9">
        <f t="shared" si="40"/>
        <v>2.2857142857142856</v>
      </c>
      <c r="AB89" s="10">
        <f t="shared" si="41"/>
        <v>5136.4082597402585</v>
      </c>
      <c r="AC89" s="9">
        <f t="shared" si="42"/>
        <v>0.54747785413857786</v>
      </c>
      <c r="AD89" s="8">
        <f t="shared" si="43"/>
        <v>17028.104155844161</v>
      </c>
      <c r="AE89" s="7">
        <f t="shared" si="44"/>
        <v>1230.2805252597404</v>
      </c>
    </row>
    <row r="90" spans="1:31" x14ac:dyDescent="0.25">
      <c r="A90" s="22">
        <f t="shared" ca="1" si="30"/>
        <v>46182</v>
      </c>
      <c r="B90" s="21" t="s">
        <v>2</v>
      </c>
      <c r="C90" s="20" t="s">
        <v>1</v>
      </c>
      <c r="D90" s="4" t="s">
        <v>74</v>
      </c>
      <c r="E90" s="3" t="str">
        <f>VLOOKUP(D90,'[1]ANALISIS (NEW)'!C:E,3,FALSE)</f>
        <v>BRKT/CLIP-PLASTIC CLIP</v>
      </c>
      <c r="F90" s="19" t="str">
        <f>VLOOKUP(D90,'[1]ANALISIS (NEW)'!C:AX,48,FALSE)</f>
        <v>HELLERMANN TYTON CORPORA</v>
      </c>
      <c r="G90" s="15" t="str">
        <f>VLOOKUP(D:D,'[1]ANALISIS (NEW)'!C:BY,75,FALSE)</f>
        <v>EA</v>
      </c>
      <c r="H90" s="18" t="str">
        <f>VLOOKUP(D90,'[1]ANALISIS (NEW)'!C:BF,49,FALSE)</f>
        <v xml:space="preserve">US </v>
      </c>
      <c r="I90" s="17">
        <f>VLOOKUP(D90,'[1]ANALISIS (NEW)'!C:BF,50,FALSE)</f>
        <v>9</v>
      </c>
      <c r="J90" s="16">
        <f>VLOOKUP(D90,'[1]ANALISIS (NEW)'!C:BG,57,FALSE)</f>
        <v>0.29199999999999998</v>
      </c>
      <c r="K90" s="15">
        <f>VLOOKUP(D90,'[1]ANALISIS (NEW)'!C:BF,56,FALSE)+1</f>
        <v>1.1818181818181819</v>
      </c>
      <c r="L90" s="14">
        <v>0</v>
      </c>
      <c r="M90" s="14">
        <f>VLOOKUP(D90,'[1]Inv Sem 23 pzas '!A:F,2,FALSE)</f>
        <v>0</v>
      </c>
      <c r="N90" s="14">
        <f>VLOOKUP(D90,'[1]Inv Sem 23 pzas '!A:F,3,FALSE)</f>
        <v>0</v>
      </c>
      <c r="O90" s="14">
        <f>VLOOKUP(D90,'[1]Inv Sem 23 pzas '!A:F,4,FALSE)</f>
        <v>80</v>
      </c>
      <c r="P90" s="14">
        <f>VLOOKUP(D90,'[1]Inv Sem 23 pzas '!A:F,5,FALSE)</f>
        <v>0</v>
      </c>
      <c r="Q90" s="14">
        <f>VLOOKUP(D90,'[1]Inv Sem 23 pzas '!A:F,6,FALSE)</f>
        <v>4000</v>
      </c>
      <c r="R90" s="13">
        <f t="shared" si="31"/>
        <v>4080</v>
      </c>
      <c r="S90" s="12">
        <f t="shared" si="32"/>
        <v>1191.3599999999999</v>
      </c>
      <c r="T90" s="11">
        <f t="shared" si="33"/>
        <v>0</v>
      </c>
      <c r="U90" s="11">
        <f t="shared" si="34"/>
        <v>0</v>
      </c>
      <c r="V90" s="11">
        <f t="shared" si="35"/>
        <v>67.692307692307693</v>
      </c>
      <c r="W90" s="11">
        <f t="shared" si="36"/>
        <v>0</v>
      </c>
      <c r="X90" s="11">
        <f t="shared" si="37"/>
        <v>3384.6153846153843</v>
      </c>
      <c r="Y90" s="11">
        <f t="shared" si="38"/>
        <v>0</v>
      </c>
      <c r="Z90" s="9">
        <f t="shared" si="39"/>
        <v>3452.3076923076919</v>
      </c>
      <c r="AA90" s="9">
        <f t="shared" si="40"/>
        <v>2.2857142857142856</v>
      </c>
      <c r="AB90" s="10">
        <f t="shared" si="41"/>
        <v>0.78877922077922069</v>
      </c>
      <c r="AC90" s="9">
        <f t="shared" si="42"/>
        <v>3450.0219780219777</v>
      </c>
      <c r="AD90" s="8">
        <f t="shared" si="43"/>
        <v>4077.298701298701</v>
      </c>
      <c r="AE90" s="7">
        <f t="shared" si="44"/>
        <v>1190.5712207792205</v>
      </c>
    </row>
    <row r="91" spans="1:31" x14ac:dyDescent="0.25">
      <c r="A91" s="22">
        <f t="shared" ca="1" si="30"/>
        <v>46182</v>
      </c>
      <c r="B91" s="21" t="s">
        <v>2</v>
      </c>
      <c r="C91" s="20" t="s">
        <v>1</v>
      </c>
      <c r="D91" s="4" t="s">
        <v>73</v>
      </c>
      <c r="E91" s="3" t="str">
        <f>VLOOKUP(D91,'[1]ANALISIS (NEW)'!C:E,3,FALSE)</f>
        <v>LABEL-A/C LABEL - A/C</v>
      </c>
      <c r="F91" s="19" t="str">
        <f>VLOOKUP(D91,'[1]ANALISIS (NEW)'!C:AX,48,FALSE)</f>
        <v>GENERAL LABELS AND PRINT</v>
      </c>
      <c r="G91" s="15" t="str">
        <f>VLOOKUP(D:D,'[1]ANALISIS (NEW)'!C:BY,75,FALSE)</f>
        <v>EA</v>
      </c>
      <c r="H91" s="18" t="str">
        <f>VLOOKUP(D91,'[1]ANALISIS (NEW)'!C:BF,49,FALSE)</f>
        <v xml:space="preserve">US </v>
      </c>
      <c r="I91" s="17">
        <f>VLOOKUP(D91,'[1]ANALISIS (NEW)'!C:BF,50,FALSE)</f>
        <v>9</v>
      </c>
      <c r="J91" s="16">
        <f>VLOOKUP(D91,'[1]ANALISIS (NEW)'!C:BG,57,FALSE)</f>
        <v>9.5689999999999997E-2</v>
      </c>
      <c r="K91" s="15">
        <f>VLOOKUP(D91,'[1]ANALISIS (NEW)'!C:BF,56,FALSE)+1</f>
        <v>1</v>
      </c>
      <c r="L91" s="14">
        <v>0</v>
      </c>
      <c r="M91" s="14">
        <f>VLOOKUP(D91,'[1]Inv Sem 23 pzas '!A:F,2,FALSE)</f>
        <v>0</v>
      </c>
      <c r="N91" s="14">
        <f>VLOOKUP(D91,'[1]Inv Sem 23 pzas '!A:F,3,FALSE)</f>
        <v>0</v>
      </c>
      <c r="O91" s="14">
        <f>VLOOKUP(D91,'[1]Inv Sem 23 pzas '!A:F,4,FALSE)</f>
        <v>11180</v>
      </c>
      <c r="P91" s="14">
        <f>VLOOKUP(D91,'[1]Inv Sem 23 pzas '!A:F,5,FALSE)</f>
        <v>0</v>
      </c>
      <c r="Q91" s="14">
        <f>VLOOKUP(D91,'[1]Inv Sem 23 pzas '!A:F,6,FALSE)</f>
        <v>1200</v>
      </c>
      <c r="R91" s="13">
        <f t="shared" si="31"/>
        <v>12380</v>
      </c>
      <c r="S91" s="12">
        <f t="shared" si="32"/>
        <v>1184.6422</v>
      </c>
      <c r="T91" s="11">
        <f t="shared" si="33"/>
        <v>0</v>
      </c>
      <c r="U91" s="11">
        <f t="shared" si="34"/>
        <v>0</v>
      </c>
      <c r="V91" s="11">
        <f t="shared" si="35"/>
        <v>11180</v>
      </c>
      <c r="W91" s="11">
        <f t="shared" si="36"/>
        <v>0</v>
      </c>
      <c r="X91" s="11">
        <f t="shared" si="37"/>
        <v>1200</v>
      </c>
      <c r="Y91" s="11">
        <f t="shared" si="38"/>
        <v>0</v>
      </c>
      <c r="Z91" s="9">
        <f t="shared" si="39"/>
        <v>12380</v>
      </c>
      <c r="AA91" s="9">
        <f t="shared" si="40"/>
        <v>2.2857142857142856</v>
      </c>
      <c r="AB91" s="10">
        <f t="shared" si="41"/>
        <v>0.21871999999999997</v>
      </c>
      <c r="AC91" s="9">
        <f t="shared" si="42"/>
        <v>12377.714285714286</v>
      </c>
      <c r="AD91" s="8">
        <f t="shared" si="43"/>
        <v>12377.714285714286</v>
      </c>
      <c r="AE91" s="7">
        <f t="shared" si="44"/>
        <v>1184.4234799999999</v>
      </c>
    </row>
    <row r="92" spans="1:31" x14ac:dyDescent="0.25">
      <c r="A92" s="22">
        <f t="shared" ca="1" si="30"/>
        <v>46182</v>
      </c>
      <c r="B92" s="21" t="s">
        <v>2</v>
      </c>
      <c r="C92" s="20" t="s">
        <v>1</v>
      </c>
      <c r="D92" s="4" t="s">
        <v>72</v>
      </c>
      <c r="E92" s="3" t="str">
        <f>VLOOKUP(D92,'[1]ANALISIS (NEW)'!C:E,3,FALSE)</f>
        <v>1/2in CONVOLUTED SLV TUB EPROTECTOR</v>
      </c>
      <c r="F92" s="19" t="str">
        <f>VLOOKUP(D92,'[1]ANALISIS (NEW)'!C:AX,48,FALSE)</f>
        <v>DELFINGEN US INC</v>
      </c>
      <c r="G92" s="15" t="str">
        <f>VLOOKUP(D:D,'[1]ANALISIS (NEW)'!C:BY,75,FALSE)</f>
        <v>MM</v>
      </c>
      <c r="H92" s="18" t="str">
        <f>VLOOKUP(D92,'[1]ANALISIS (NEW)'!C:BF,49,FALSE)</f>
        <v xml:space="preserve">US </v>
      </c>
      <c r="I92" s="17">
        <f>VLOOKUP(D92,'[1]ANALISIS (NEW)'!C:BF,50,FALSE)</f>
        <v>9</v>
      </c>
      <c r="J92" s="16">
        <f>VLOOKUP(D92,'[1]ANALISIS (NEW)'!C:BG,57,FALSE)*1000</f>
        <v>0.23</v>
      </c>
      <c r="K92" s="15">
        <f>VLOOKUP(D92,'[1]ANALISIS (NEW)'!C:BF,56,FALSE)+1</f>
        <v>3465.0286363636365</v>
      </c>
      <c r="L92" s="14">
        <v>0</v>
      </c>
      <c r="M92" s="14">
        <f>VLOOKUP(D92,'[1]Inv Sem 23 pzas '!A:F,2,FALSE)/1000</f>
        <v>0</v>
      </c>
      <c r="N92" s="14">
        <f>VLOOKUP(D92,'[1]Inv Sem 23 pzas '!A:F,3,FALSE)/1000</f>
        <v>0</v>
      </c>
      <c r="O92" s="14">
        <f>VLOOKUP(D92,'[1]Inv Sem 23 pzas '!A:F,4,FALSE)/1000</f>
        <v>2066.616</v>
      </c>
      <c r="P92" s="14">
        <f>VLOOKUP(D92,'[1]Inv Sem 23 pzas '!A:F,5,FALSE)</f>
        <v>0</v>
      </c>
      <c r="Q92" s="14">
        <f>VLOOKUP(D92,'[1]Inv Sem 23 pzas '!A:F,6,FALSE)/1000</f>
        <v>10971</v>
      </c>
      <c r="R92" s="13">
        <f t="shared" si="31"/>
        <v>13037.616</v>
      </c>
      <c r="S92" s="12">
        <f t="shared" si="32"/>
        <v>2998.6516799999999</v>
      </c>
      <c r="T92" s="11">
        <f t="shared" si="33"/>
        <v>0</v>
      </c>
      <c r="U92" s="11">
        <f t="shared" si="34"/>
        <v>0</v>
      </c>
      <c r="V92" s="11">
        <f t="shared" si="35"/>
        <v>0.59642104492642911</v>
      </c>
      <c r="W92" s="11">
        <f t="shared" si="36"/>
        <v>0</v>
      </c>
      <c r="X92" s="11">
        <f t="shared" si="37"/>
        <v>3.1662075992288137</v>
      </c>
      <c r="Y92" s="11">
        <f t="shared" si="38"/>
        <v>0</v>
      </c>
      <c r="Z92" s="9">
        <f t="shared" si="39"/>
        <v>3.7626286441552428</v>
      </c>
      <c r="AA92" s="9">
        <f t="shared" si="40"/>
        <v>2.2857142857142856</v>
      </c>
      <c r="AB92" s="10">
        <f t="shared" si="41"/>
        <v>1821.6150545454545</v>
      </c>
      <c r="AC92" s="9">
        <f t="shared" si="42"/>
        <v>1.4769143584409572</v>
      </c>
      <c r="AD92" s="8">
        <f t="shared" si="43"/>
        <v>5117.5505454545446</v>
      </c>
      <c r="AE92" s="7">
        <f t="shared" si="44"/>
        <v>1177.0366254545454</v>
      </c>
    </row>
    <row r="93" spans="1:31" x14ac:dyDescent="0.25">
      <c r="A93" s="22">
        <f t="shared" ca="1" si="30"/>
        <v>46182</v>
      </c>
      <c r="B93" s="21" t="s">
        <v>2</v>
      </c>
      <c r="C93" s="20" t="s">
        <v>1</v>
      </c>
      <c r="D93" s="4" t="s">
        <v>71</v>
      </c>
      <c r="E93" s="3" t="str">
        <f>VLOOKUP(D93,'[1]ANALISIS (NEW)'!C:E,3,FALSE)</f>
        <v>Plastic</v>
      </c>
      <c r="F93" s="19" t="str">
        <f>VLOOKUP(D93,'[1]ANALISIS (NEW)'!C:AX,48,FALSE)</f>
        <v>TE CONNECTIVITY</v>
      </c>
      <c r="G93" s="15" t="str">
        <f>VLOOKUP(D:D,'[1]ANALISIS (NEW)'!C:BY,75,FALSE)</f>
        <v>MM</v>
      </c>
      <c r="H93" s="18" t="str">
        <f>VLOOKUP(D93,'[1]ANALISIS (NEW)'!C:BF,49,FALSE)</f>
        <v xml:space="preserve">US </v>
      </c>
      <c r="I93" s="17">
        <f>VLOOKUP(D93,'[1]ANALISIS (NEW)'!C:BF,50,FALSE)</f>
        <v>9</v>
      </c>
      <c r="J93" s="16">
        <f>VLOOKUP(D93,'[1]ANALISIS (NEW)'!C:BG,57,FALSE)*1000</f>
        <v>2.36</v>
      </c>
      <c r="K93" s="15">
        <f>VLOOKUP(D93,'[1]ANALISIS (NEW)'!C:BF,56,FALSE)</f>
        <v>1199.4254545454546</v>
      </c>
      <c r="L93" s="14">
        <v>1620</v>
      </c>
      <c r="M93" s="14">
        <f>VLOOKUP(D93,'[1]Inv Sem 23 pzas '!A:F,2,FALSE)/1000</f>
        <v>0</v>
      </c>
      <c r="N93" s="14">
        <f>VLOOKUP(D93,'[1]Inv Sem 23 pzas '!A:F,3,FALSE)/1000</f>
        <v>0</v>
      </c>
      <c r="O93" s="14">
        <f>VLOOKUP(D93,'[1]Inv Sem 23 pzas '!A:F,4,FALSE)/1000</f>
        <v>588.31799999999998</v>
      </c>
      <c r="P93" s="14">
        <f>VLOOKUP(D93,'[1]Inv Sem 23 pzas '!A:F,5,FALSE)</f>
        <v>0</v>
      </c>
      <c r="Q93" s="14">
        <f>VLOOKUP(D93,'[1]Inv Sem 23 pzas '!A:F,6,FALSE)/1000</f>
        <v>1020</v>
      </c>
      <c r="R93" s="13">
        <f t="shared" si="31"/>
        <v>3228.3180000000002</v>
      </c>
      <c r="S93" s="12">
        <f t="shared" si="32"/>
        <v>7618.8304800000005</v>
      </c>
      <c r="T93" s="11">
        <f t="shared" si="33"/>
        <v>0</v>
      </c>
      <c r="U93" s="11">
        <f t="shared" si="34"/>
        <v>0</v>
      </c>
      <c r="V93" s="11">
        <f t="shared" si="35"/>
        <v>0.4904998453805155</v>
      </c>
      <c r="W93" s="11">
        <f t="shared" si="36"/>
        <v>0</v>
      </c>
      <c r="X93" s="11">
        <f t="shared" si="37"/>
        <v>0.85040716464246513</v>
      </c>
      <c r="Y93" s="11">
        <f t="shared" si="38"/>
        <v>1.3506466732556799</v>
      </c>
      <c r="Z93" s="9">
        <f t="shared" si="39"/>
        <v>2.6915536832786606</v>
      </c>
      <c r="AA93" s="9">
        <f t="shared" si="40"/>
        <v>2.2857142857142856</v>
      </c>
      <c r="AB93" s="10">
        <f t="shared" si="41"/>
        <v>6470.0435948051945</v>
      </c>
      <c r="AC93" s="9">
        <f t="shared" si="42"/>
        <v>0.40583939756437504</v>
      </c>
      <c r="AD93" s="8">
        <f t="shared" si="43"/>
        <v>486.77410389610401</v>
      </c>
      <c r="AE93" s="7">
        <f t="shared" si="44"/>
        <v>1148.7868851948053</v>
      </c>
    </row>
    <row r="94" spans="1:31" x14ac:dyDescent="0.25">
      <c r="A94" s="22">
        <f t="shared" ca="1" si="30"/>
        <v>46182</v>
      </c>
      <c r="B94" s="21" t="s">
        <v>2</v>
      </c>
      <c r="C94" s="20" t="s">
        <v>1</v>
      </c>
      <c r="D94" s="4" t="s">
        <v>70</v>
      </c>
      <c r="E94" s="3" t="str">
        <f>VLOOKUP(D94,'[1]ANALISIS (NEW)'!C:E,3,FALSE)</f>
        <v>Rivet</v>
      </c>
      <c r="F94" s="19" t="str">
        <f>VLOOKUP(D94,'[1]ANALISIS (NEW)'!C:AX,48,FALSE)</f>
        <v>EMHART TEKNOLOGIES LLC S</v>
      </c>
      <c r="G94" s="15" t="str">
        <f>VLOOKUP(D:D,'[1]ANALISIS (NEW)'!C:BY,75,FALSE)</f>
        <v>EA</v>
      </c>
      <c r="H94" s="18" t="str">
        <f>VLOOKUP(D94,'[1]ANALISIS (NEW)'!C:BF,49,FALSE)</f>
        <v xml:space="preserve">US </v>
      </c>
      <c r="I94" s="17">
        <f>VLOOKUP(D94,'[1]ANALISIS (NEW)'!C:BF,50,FALSE)</f>
        <v>9</v>
      </c>
      <c r="J94" s="16">
        <f>VLOOKUP(D94,'[1]ANALISIS (NEW)'!C:BG,57,FALSE)</f>
        <v>4.2999999999999997E-2</v>
      </c>
      <c r="K94" s="15">
        <f>VLOOKUP(D94,'[1]ANALISIS (NEW)'!C:BF,56,FALSE)</f>
        <v>14419.09090909091</v>
      </c>
      <c r="L94" s="14">
        <v>0</v>
      </c>
      <c r="M94" s="14">
        <f>VLOOKUP(D94,'[1]Inv Sem 23 pzas '!A:F,2,FALSE)</f>
        <v>0</v>
      </c>
      <c r="N94" s="14">
        <f>VLOOKUP(D94,'[1]Inv Sem 23 pzas '!A:F,3,FALSE)</f>
        <v>0</v>
      </c>
      <c r="O94" s="14">
        <f>VLOOKUP(D94,'[1]Inv Sem 23 pzas '!A:F,4,FALSE)</f>
        <v>31233</v>
      </c>
      <c r="P94" s="14">
        <f>VLOOKUP(D94,'[1]Inv Sem 23 pzas '!A:F,5,FALSE)</f>
        <v>9000</v>
      </c>
      <c r="Q94" s="14">
        <f>VLOOKUP(D94,'[1]Inv Sem 23 pzas '!A:F,6,FALSE)</f>
        <v>18000</v>
      </c>
      <c r="R94" s="13">
        <f t="shared" si="31"/>
        <v>58233</v>
      </c>
      <c r="S94" s="12">
        <f t="shared" si="32"/>
        <v>2504.0189999999998</v>
      </c>
      <c r="T94" s="11">
        <f t="shared" si="33"/>
        <v>0</v>
      </c>
      <c r="U94" s="11">
        <f t="shared" si="34"/>
        <v>0</v>
      </c>
      <c r="V94" s="11">
        <f t="shared" si="35"/>
        <v>2.1660866275770756</v>
      </c>
      <c r="W94" s="11">
        <f t="shared" si="36"/>
        <v>0.62417249858142609</v>
      </c>
      <c r="X94" s="11">
        <f t="shared" si="37"/>
        <v>1.2483449971628522</v>
      </c>
      <c r="Y94" s="11">
        <f t="shared" si="38"/>
        <v>0</v>
      </c>
      <c r="Z94" s="9">
        <f t="shared" si="39"/>
        <v>4.0386041233213543</v>
      </c>
      <c r="AA94" s="9">
        <f t="shared" si="40"/>
        <v>2.2857142857142856</v>
      </c>
      <c r="AB94" s="10">
        <f t="shared" si="41"/>
        <v>1417.1906493506492</v>
      </c>
      <c r="AC94" s="9">
        <f t="shared" si="42"/>
        <v>1.7528898376070687</v>
      </c>
      <c r="AD94" s="8">
        <f t="shared" si="43"/>
        <v>25275.077922077926</v>
      </c>
      <c r="AE94" s="7">
        <f t="shared" si="44"/>
        <v>1086.8283506493508</v>
      </c>
    </row>
    <row r="95" spans="1:31" x14ac:dyDescent="0.25">
      <c r="A95" s="22">
        <f t="shared" ca="1" si="30"/>
        <v>46182</v>
      </c>
      <c r="B95" s="21" t="s">
        <v>2</v>
      </c>
      <c r="C95" s="20" t="s">
        <v>1</v>
      </c>
      <c r="D95" s="4" t="s">
        <v>69</v>
      </c>
      <c r="E95" s="3" t="str">
        <f>VLOOKUP(D95,'[1]ANALISIS (NEW)'!C:E,3,FALSE)</f>
        <v>SHIPPING CAP (BULK)</v>
      </c>
      <c r="F95" s="19" t="str">
        <f>VLOOKUP(D95,'[1]ANALISIS (NEW)'!C:AX,48,FALSE)</f>
        <v>POLYMER MOLDING INC</v>
      </c>
      <c r="G95" s="15" t="str">
        <f>VLOOKUP(D:D,'[1]ANALISIS (NEW)'!C:BY,75,FALSE)</f>
        <v>EA</v>
      </c>
      <c r="H95" s="18" t="str">
        <f>VLOOKUP(D95,'[1]ANALISIS (NEW)'!C:BF,49,FALSE)</f>
        <v xml:space="preserve">US </v>
      </c>
      <c r="I95" s="17">
        <f>VLOOKUP(D95,'[1]ANALISIS (NEW)'!C:BF,50,FALSE)</f>
        <v>9</v>
      </c>
      <c r="J95" s="16">
        <f>VLOOKUP(D95,'[1]ANALISIS (NEW)'!C:BG,57,FALSE)</f>
        <v>4.2349999999999999E-2</v>
      </c>
      <c r="K95" s="15">
        <f>VLOOKUP(D95,'[1]ANALISIS (NEW)'!C:BF,56,FALSE)</f>
        <v>7188.818181818182</v>
      </c>
      <c r="L95" s="14">
        <v>0</v>
      </c>
      <c r="M95" s="14">
        <f>VLOOKUP(D95,'[1]Inv Sem 23 pzas '!A:F,2,FALSE)</f>
        <v>0</v>
      </c>
      <c r="N95" s="14">
        <f>VLOOKUP(D95,'[1]Inv Sem 23 pzas '!A:F,3,FALSE)</f>
        <v>0</v>
      </c>
      <c r="O95" s="14">
        <f>VLOOKUP(D95,'[1]Inv Sem 23 pzas '!A:F,4,FALSE)</f>
        <v>19441</v>
      </c>
      <c r="P95" s="14">
        <f>VLOOKUP(D95,'[1]Inv Sem 23 pzas '!A:F,5,FALSE)</f>
        <v>0</v>
      </c>
      <c r="Q95" s="14">
        <f>VLOOKUP(D95,'[1]Inv Sem 23 pzas '!A:F,6,FALSE)</f>
        <v>22500</v>
      </c>
      <c r="R95" s="13">
        <f t="shared" si="31"/>
        <v>41941</v>
      </c>
      <c r="S95" s="12">
        <f t="shared" si="32"/>
        <v>1776.20135</v>
      </c>
      <c r="T95" s="11">
        <f t="shared" si="33"/>
        <v>0</v>
      </c>
      <c r="U95" s="11">
        <f t="shared" si="34"/>
        <v>0</v>
      </c>
      <c r="V95" s="11">
        <f t="shared" si="35"/>
        <v>2.7043388090089406</v>
      </c>
      <c r="W95" s="11">
        <f t="shared" si="36"/>
        <v>0</v>
      </c>
      <c r="X95" s="11">
        <f t="shared" si="37"/>
        <v>3.1298607686179292</v>
      </c>
      <c r="Y95" s="11">
        <f t="shared" si="38"/>
        <v>0</v>
      </c>
      <c r="Z95" s="9">
        <f t="shared" si="39"/>
        <v>5.8341995776268698</v>
      </c>
      <c r="AA95" s="9">
        <f t="shared" si="40"/>
        <v>2.2857142857142856</v>
      </c>
      <c r="AB95" s="10">
        <f t="shared" si="41"/>
        <v>695.87759999999992</v>
      </c>
      <c r="AC95" s="9">
        <f t="shared" si="42"/>
        <v>3.5484852919125842</v>
      </c>
      <c r="AD95" s="8">
        <f t="shared" si="43"/>
        <v>25509.415584415583</v>
      </c>
      <c r="AE95" s="7">
        <f t="shared" si="44"/>
        <v>1080.32375</v>
      </c>
    </row>
    <row r="96" spans="1:31" x14ac:dyDescent="0.25">
      <c r="A96" s="22">
        <f t="shared" ca="1" si="30"/>
        <v>46182</v>
      </c>
      <c r="B96" s="21" t="s">
        <v>2</v>
      </c>
      <c r="C96" s="20" t="s">
        <v>1</v>
      </c>
      <c r="D96" s="4" t="s">
        <v>68</v>
      </c>
      <c r="E96" s="3" t="str">
        <f>VLOOKUP(D96,'[1]ANALISIS (NEW)'!C:E,3,FALSE)</f>
        <v>SHP'G/CAP-MSF-5/8" MaleFemale MSF Loop</v>
      </c>
      <c r="F96" s="19" t="str">
        <f>VLOOKUP(D96,'[1]ANALISIS (NEW)'!C:AX,48,FALSE)</f>
        <v>POLYMER MOLDING INC</v>
      </c>
      <c r="G96" s="15" t="str">
        <f>VLOOKUP(D:D,'[1]ANALISIS (NEW)'!C:BY,75,FALSE)</f>
        <v>EA</v>
      </c>
      <c r="H96" s="18" t="str">
        <f>VLOOKUP(D96,'[1]ANALISIS (NEW)'!C:BF,49,FALSE)</f>
        <v xml:space="preserve">US </v>
      </c>
      <c r="I96" s="17">
        <f>VLOOKUP(D96,'[1]ANALISIS (NEW)'!C:BF,50,FALSE)</f>
        <v>9</v>
      </c>
      <c r="J96" s="16">
        <f>VLOOKUP(D96,'[1]ANALISIS (NEW)'!C:BG,57,FALSE)</f>
        <v>4.2349999999999999E-2</v>
      </c>
      <c r="K96" s="15">
        <f>VLOOKUP(D96,'[1]ANALISIS (NEW)'!C:BF,56,FALSE)</f>
        <v>5746.181818181818</v>
      </c>
      <c r="L96" s="14">
        <v>0</v>
      </c>
      <c r="M96" s="14">
        <f>VLOOKUP(D96,'[1]Inv Sem 23 pzas '!A:F,2,FALSE)</f>
        <v>0</v>
      </c>
      <c r="N96" s="14">
        <f>VLOOKUP(D96,'[1]Inv Sem 23 pzas '!A:F,3,FALSE)</f>
        <v>0</v>
      </c>
      <c r="O96" s="14">
        <f>VLOOKUP(D96,'[1]Inv Sem 23 pzas '!A:F,4,FALSE)</f>
        <v>12913</v>
      </c>
      <c r="P96" s="14">
        <f>VLOOKUP(D96,'[1]Inv Sem 23 pzas '!A:F,5,FALSE)</f>
        <v>0</v>
      </c>
      <c r="Q96" s="14">
        <f>VLOOKUP(D96,'[1]Inv Sem 23 pzas '!A:F,6,FALSE)</f>
        <v>25500</v>
      </c>
      <c r="R96" s="13">
        <f t="shared" si="31"/>
        <v>38413</v>
      </c>
      <c r="S96" s="12">
        <f t="shared" si="32"/>
        <v>1626.7905499999999</v>
      </c>
      <c r="T96" s="11">
        <f t="shared" si="33"/>
        <v>0</v>
      </c>
      <c r="U96" s="11">
        <f t="shared" si="34"/>
        <v>0</v>
      </c>
      <c r="V96" s="11">
        <f t="shared" si="35"/>
        <v>2.2472313631185927</v>
      </c>
      <c r="W96" s="11">
        <f t="shared" si="36"/>
        <v>0</v>
      </c>
      <c r="X96" s="11">
        <f t="shared" si="37"/>
        <v>4.4377294013416027</v>
      </c>
      <c r="Y96" s="11">
        <f t="shared" si="38"/>
        <v>0</v>
      </c>
      <c r="Z96" s="9">
        <f t="shared" si="39"/>
        <v>6.6849607644601949</v>
      </c>
      <c r="AA96" s="9">
        <f t="shared" si="40"/>
        <v>2.2857142857142856</v>
      </c>
      <c r="AB96" s="10">
        <f t="shared" si="41"/>
        <v>556.23039999999992</v>
      </c>
      <c r="AC96" s="9">
        <f t="shared" si="42"/>
        <v>4.3992464787459094</v>
      </c>
      <c r="AD96" s="8">
        <f t="shared" si="43"/>
        <v>25278.870129870131</v>
      </c>
      <c r="AE96" s="7">
        <f t="shared" si="44"/>
        <v>1070.56015</v>
      </c>
    </row>
    <row r="97" spans="1:31" x14ac:dyDescent="0.25">
      <c r="A97" s="22">
        <f t="shared" ca="1" si="30"/>
        <v>46182</v>
      </c>
      <c r="B97" s="21" t="s">
        <v>2</v>
      </c>
      <c r="C97" s="20" t="s">
        <v>1</v>
      </c>
      <c r="D97" s="4" t="s">
        <v>67</v>
      </c>
      <c r="E97" s="3" t="str">
        <f>VLOOKUP(D97,'[1]ANALISIS (NEW)'!C:E,3,FALSE)</f>
        <v>3/8in O'RING</v>
      </c>
      <c r="F97" s="19" t="str">
        <f>VLOOKUP(D97,'[1]ANALISIS (NEW)'!C:AX,48,FALSE)</f>
        <v>TRELLEBORG SEALING SOLUT</v>
      </c>
      <c r="G97" s="15" t="str">
        <f>VLOOKUP(D:D,'[1]ANALISIS (NEW)'!C:BY,75,FALSE)</f>
        <v>EA</v>
      </c>
      <c r="H97" s="18" t="str">
        <f>VLOOKUP(D97,'[1]ANALISIS (NEW)'!C:BF,49,FALSE)</f>
        <v xml:space="preserve">US </v>
      </c>
      <c r="I97" s="17">
        <f>VLOOKUP(D97,'[1]ANALISIS (NEW)'!C:BF,50,FALSE)</f>
        <v>9</v>
      </c>
      <c r="J97" s="16">
        <f>VLOOKUP(D97,'[1]ANALISIS (NEW)'!C:BG,57,FALSE)</f>
        <v>2.52E-2</v>
      </c>
      <c r="K97" s="15">
        <f>VLOOKUP(D97,'[1]ANALISIS (NEW)'!C:BF,56,FALSE)+0.1</f>
        <v>297.28181818181821</v>
      </c>
      <c r="L97" s="14">
        <v>0</v>
      </c>
      <c r="M97" s="14">
        <f>VLOOKUP(D97,'[1]Inv Sem 23 pzas '!A:F,2,FALSE)</f>
        <v>0</v>
      </c>
      <c r="N97" s="14">
        <f>VLOOKUP(D97,'[1]Inv Sem 23 pzas '!A:F,3,FALSE)</f>
        <v>0</v>
      </c>
      <c r="O97" s="14">
        <f>VLOOKUP(D97,'[1]Inv Sem 23 pzas '!A:F,4,FALSE)</f>
        <v>2507</v>
      </c>
      <c r="P97" s="14">
        <f>VLOOKUP(D97,'[1]Inv Sem 23 pzas '!A:F,5,FALSE)</f>
        <v>0</v>
      </c>
      <c r="Q97" s="14">
        <f>VLOOKUP(D97,'[1]Inv Sem 23 pzas '!A:F,6,FALSE)</f>
        <v>39000</v>
      </c>
      <c r="R97" s="13">
        <f t="shared" si="31"/>
        <v>41507</v>
      </c>
      <c r="S97" s="12">
        <f t="shared" si="32"/>
        <v>1045.9764</v>
      </c>
      <c r="T97" s="11">
        <f t="shared" si="33"/>
        <v>0</v>
      </c>
      <c r="U97" s="11">
        <f t="shared" si="34"/>
        <v>0</v>
      </c>
      <c r="V97" s="11">
        <f t="shared" si="35"/>
        <v>8.4330754411180084</v>
      </c>
      <c r="W97" s="11">
        <f t="shared" si="36"/>
        <v>0</v>
      </c>
      <c r="X97" s="11">
        <f t="shared" si="37"/>
        <v>131.18864866517842</v>
      </c>
      <c r="Y97" s="11">
        <f t="shared" si="38"/>
        <v>0</v>
      </c>
      <c r="Z97" s="9">
        <f t="shared" si="39"/>
        <v>139.62172410629643</v>
      </c>
      <c r="AA97" s="9">
        <f t="shared" si="40"/>
        <v>2.2857142857142856</v>
      </c>
      <c r="AB97" s="10">
        <f t="shared" si="41"/>
        <v>17.123432727272728</v>
      </c>
      <c r="AC97" s="9">
        <f t="shared" si="42"/>
        <v>137.33600982058215</v>
      </c>
      <c r="AD97" s="8">
        <f t="shared" si="43"/>
        <v>40827.498701298704</v>
      </c>
      <c r="AE97" s="7">
        <f t="shared" si="44"/>
        <v>1028.8529672727273</v>
      </c>
    </row>
    <row r="98" spans="1:31" x14ac:dyDescent="0.25">
      <c r="A98" s="22">
        <f t="shared" ref="A98:A129" ca="1" si="45">TODAY()</f>
        <v>46182</v>
      </c>
      <c r="B98" s="21" t="s">
        <v>2</v>
      </c>
      <c r="C98" s="20" t="s">
        <v>1</v>
      </c>
      <c r="D98" s="4" t="s">
        <v>66</v>
      </c>
      <c r="E98" s="3" t="str">
        <f>VLOOKUP(D98,'[1]ANALISIS (NEW)'!C:E,3,FALSE)</f>
        <v>GROMMET-A/C TUBE BRKT</v>
      </c>
      <c r="F98" s="19" t="str">
        <f>VLOOKUP(D98,'[1]ANALISIS (NEW)'!C:AX,48,FALSE)</f>
        <v>SINCLAIR &amp; RUSH, INC.</v>
      </c>
      <c r="G98" s="15" t="str">
        <f>VLOOKUP(D:D,'[1]ANALISIS (NEW)'!C:BY,75,FALSE)</f>
        <v>EA</v>
      </c>
      <c r="H98" s="18" t="str">
        <f>VLOOKUP(D98,'[1]ANALISIS (NEW)'!C:BF,49,FALSE)</f>
        <v xml:space="preserve">US </v>
      </c>
      <c r="I98" s="17">
        <f>VLOOKUP(D98,'[1]ANALISIS (NEW)'!C:BF,50,FALSE)</f>
        <v>9</v>
      </c>
      <c r="J98" s="16">
        <f>VLOOKUP(D98,'[1]ANALISIS (NEW)'!C:BG,57,FALSE)</f>
        <v>0.22119999999999998</v>
      </c>
      <c r="K98" s="15">
        <f>VLOOKUP(D98,'[1]ANALISIS (NEW)'!C:BF,56,FALSE)</f>
        <v>1969.4545454545455</v>
      </c>
      <c r="L98" s="14">
        <v>0</v>
      </c>
      <c r="M98" s="14">
        <f>VLOOKUP(D98,'[1]Inv Sem 23 pzas '!A:F,2,FALSE)</f>
        <v>0</v>
      </c>
      <c r="N98" s="14">
        <f>VLOOKUP(D98,'[1]Inv Sem 23 pzas '!A:F,3,FALSE)</f>
        <v>8000</v>
      </c>
      <c r="O98" s="14">
        <f>VLOOKUP(D98,'[1]Inv Sem 23 pzas '!A:F,4,FALSE)</f>
        <v>-1045</v>
      </c>
      <c r="P98" s="14">
        <f>VLOOKUP(D98,'[1]Inv Sem 23 pzas '!A:F,5,FALSE)</f>
        <v>0</v>
      </c>
      <c r="Q98" s="14">
        <f>VLOOKUP(D98,'[1]Inv Sem 23 pzas '!A:F,6,FALSE)</f>
        <v>2000</v>
      </c>
      <c r="R98" s="13">
        <f t="shared" ref="R98:R129" si="46">SUM(L98:Q98)</f>
        <v>8955</v>
      </c>
      <c r="S98" s="12">
        <f t="shared" ref="S98:S129" si="47">J98*R98</f>
        <v>1980.8459999999998</v>
      </c>
      <c r="T98" s="11">
        <f t="shared" ref="T98:T129" si="48">IFERROR(M98/K98,0)</f>
        <v>0</v>
      </c>
      <c r="U98" s="11">
        <f t="shared" ref="U98:U129" si="49">IFERROR(N98/K98,0)</f>
        <v>4.0620384047267359</v>
      </c>
      <c r="V98" s="11">
        <f t="shared" ref="V98:V129" si="50">IFERROR(O98/K98,0)</f>
        <v>-0.53060376661742981</v>
      </c>
      <c r="W98" s="11">
        <f t="shared" ref="W98:W129" si="51">IFERROR(P98/K98,0)</f>
        <v>0</v>
      </c>
      <c r="X98" s="11">
        <f t="shared" ref="X98:X129" si="52">IFERROR(Q98/K98,0)</f>
        <v>1.015509601181684</v>
      </c>
      <c r="Y98" s="11">
        <f t="shared" ref="Y98:Y119" si="53">L98/K98</f>
        <v>0</v>
      </c>
      <c r="Z98" s="9">
        <f t="shared" ref="Z98:Z129" si="54">SUM(T98:Y98)</f>
        <v>4.5469442392909905</v>
      </c>
      <c r="AA98" s="9">
        <f t="shared" ref="AA98:AA129" si="55">(I98+7)/7</f>
        <v>2.2857142857142856</v>
      </c>
      <c r="AB98" s="10">
        <f t="shared" ref="AB98:AB129" si="56">AA98*K98*J98</f>
        <v>995.7562181818181</v>
      </c>
      <c r="AC98" s="9">
        <f t="shared" ref="AC98:AC129" si="57">Z98-AA98</f>
        <v>2.2612299535767049</v>
      </c>
      <c r="AD98" s="8">
        <f t="shared" ref="AD98:AD129" si="58">AC98*K98</f>
        <v>4453.3896103896122</v>
      </c>
      <c r="AE98" s="7">
        <f t="shared" ref="AE98:AE129" si="59">AD98*J98</f>
        <v>985.08978181818213</v>
      </c>
    </row>
    <row r="99" spans="1:31" x14ac:dyDescent="0.25">
      <c r="A99" s="22">
        <f t="shared" ca="1" si="45"/>
        <v>46182</v>
      </c>
      <c r="B99" s="21" t="s">
        <v>2</v>
      </c>
      <c r="C99" s="20" t="s">
        <v>1</v>
      </c>
      <c r="D99" s="4" t="s">
        <v>65</v>
      </c>
      <c r="E99" s="3" t="str">
        <f>VLOOKUP(D99,'[1]ANALISIS (NEW)'!C:E,3,FALSE)</f>
        <v>SLV ABRAS BRD MONOFI D13_T0.8_L0650</v>
      </c>
      <c r="F99" s="19" t="str">
        <f>VLOOKUP(D99,'[1]ANALISIS (NEW)'!C:AX,48,FALSE)</f>
        <v xml:space="preserve">FEDERAL-MOGUL POWERTRAIN- Qro </v>
      </c>
      <c r="G99" s="15" t="str">
        <f>VLOOKUP(D:D,'[1]ANALISIS (NEW)'!C:BY,75,FALSE)</f>
        <v>EA</v>
      </c>
      <c r="H99" s="18" t="str">
        <f>VLOOKUP(D99,'[1]ANALISIS (NEW)'!C:BF,49,FALSE)</f>
        <v xml:space="preserve">US </v>
      </c>
      <c r="I99" s="17">
        <f>VLOOKUP(D99,'[1]ANALISIS (NEW)'!C:BF,50,FALSE)</f>
        <v>9</v>
      </c>
      <c r="J99" s="16">
        <f>VLOOKUP(D99,'[1]ANALISIS (NEW)'!C:BG,57,FALSE)</f>
        <v>0.40460000000000002</v>
      </c>
      <c r="K99" s="15">
        <f>VLOOKUP(D99,'[1]ANALISIS (NEW)'!C:BF,56,FALSE)</f>
        <v>1375.909090909091</v>
      </c>
      <c r="L99" s="14">
        <v>0</v>
      </c>
      <c r="M99" s="14">
        <f>VLOOKUP(D99,'[1]Inv Sem 23 pzas '!A:F,2,FALSE)</f>
        <v>0</v>
      </c>
      <c r="N99" s="14">
        <f>VLOOKUP(D99,'[1]Inv Sem 23 pzas '!A:F,3,FALSE)</f>
        <v>1600</v>
      </c>
      <c r="O99" s="14">
        <f>VLOOKUP(D99,'[1]Inv Sem 23 pzas '!A:F,4,FALSE)</f>
        <v>353</v>
      </c>
      <c r="P99" s="14">
        <f>VLOOKUP(D99,'[1]Inv Sem 23 pzas '!A:F,5,FALSE)</f>
        <v>0</v>
      </c>
      <c r="Q99" s="14">
        <f>VLOOKUP(D99,'[1]Inv Sem 23 pzas '!A:F,6,FALSE)</f>
        <v>3600</v>
      </c>
      <c r="R99" s="13">
        <f t="shared" si="46"/>
        <v>5553</v>
      </c>
      <c r="S99" s="12">
        <f t="shared" si="47"/>
        <v>2246.7438000000002</v>
      </c>
      <c r="T99" s="11">
        <f t="shared" si="48"/>
        <v>0</v>
      </c>
      <c r="U99" s="11">
        <f t="shared" si="49"/>
        <v>1.1628675256029071</v>
      </c>
      <c r="V99" s="11">
        <f t="shared" si="50"/>
        <v>0.25655764783614138</v>
      </c>
      <c r="W99" s="11">
        <f t="shared" si="51"/>
        <v>0</v>
      </c>
      <c r="X99" s="11">
        <f t="shared" si="52"/>
        <v>2.616451932606541</v>
      </c>
      <c r="Y99" s="11">
        <f t="shared" si="53"/>
        <v>0</v>
      </c>
      <c r="Z99" s="9">
        <f t="shared" si="54"/>
        <v>4.0358771060455894</v>
      </c>
      <c r="AA99" s="9">
        <f t="shared" si="55"/>
        <v>2.2857142857142856</v>
      </c>
      <c r="AB99" s="10">
        <f t="shared" si="56"/>
        <v>1272.4407272727274</v>
      </c>
      <c r="AC99" s="9">
        <f t="shared" si="57"/>
        <v>1.7501628203313038</v>
      </c>
      <c r="AD99" s="8">
        <f t="shared" si="58"/>
        <v>2408.0649350649351</v>
      </c>
      <c r="AE99" s="7">
        <f t="shared" si="59"/>
        <v>974.30307272727282</v>
      </c>
    </row>
    <row r="100" spans="1:31" x14ac:dyDescent="0.25">
      <c r="A100" s="22">
        <f t="shared" ca="1" si="45"/>
        <v>46182</v>
      </c>
      <c r="B100" s="21" t="s">
        <v>2</v>
      </c>
      <c r="C100" s="20" t="s">
        <v>1</v>
      </c>
      <c r="D100" s="4" t="s">
        <v>64</v>
      </c>
      <c r="E100" s="3" t="str">
        <f>VLOOKUP(D100,'[1]ANALISIS (NEW)'!C:E,3,FALSE)</f>
        <v>BRKT/CLIP-PLASTIC CLIP</v>
      </c>
      <c r="F100" s="19" t="str">
        <f>VLOOKUP(D100,'[1]ANALISIS (NEW)'!C:AX,48,FALSE)</f>
        <v>HOOSIER MOLDED PRODUCTS</v>
      </c>
      <c r="G100" s="15" t="str">
        <f>VLOOKUP(D:D,'[1]ANALISIS (NEW)'!C:BY,75,FALSE)</f>
        <v>EA</v>
      </c>
      <c r="H100" s="18" t="str">
        <f>VLOOKUP(D100,'[1]ANALISIS (NEW)'!C:BF,49,FALSE)</f>
        <v xml:space="preserve">US </v>
      </c>
      <c r="I100" s="17">
        <f>VLOOKUP(D100,'[1]ANALISIS (NEW)'!C:BF,50,FALSE)</f>
        <v>9</v>
      </c>
      <c r="J100" s="16">
        <f>VLOOKUP(D100,'[1]ANALISIS (NEW)'!C:BG,57,FALSE)</f>
        <v>6.9900000000000004E-2</v>
      </c>
      <c r="K100" s="15">
        <f>VLOOKUP(D100,'[1]ANALISIS (NEW)'!C:BF,56,FALSE)</f>
        <v>4189.090909090909</v>
      </c>
      <c r="L100" s="14">
        <v>8000</v>
      </c>
      <c r="M100" s="14">
        <f>VLOOKUP(D100,'[1]Inv Sem 23 pzas '!A:F,2,FALSE)</f>
        <v>0</v>
      </c>
      <c r="N100" s="14">
        <f>VLOOKUP(D100,'[1]Inv Sem 23 pzas '!A:F,3,FALSE)</f>
        <v>0</v>
      </c>
      <c r="O100" s="14">
        <f>VLOOKUP(D100,'[1]Inv Sem 23 pzas '!A:F,4,FALSE)</f>
        <v>11109</v>
      </c>
      <c r="P100" s="14">
        <f>VLOOKUP(D100,'[1]Inv Sem 23 pzas '!A:F,5,FALSE)</f>
        <v>0</v>
      </c>
      <c r="Q100" s="14">
        <f>VLOOKUP(D100,'[1]Inv Sem 23 pzas '!A:F,6,FALSE)</f>
        <v>4000</v>
      </c>
      <c r="R100" s="13">
        <f t="shared" si="46"/>
        <v>23109</v>
      </c>
      <c r="S100" s="12">
        <f t="shared" si="47"/>
        <v>1615.3191000000002</v>
      </c>
      <c r="T100" s="11">
        <f t="shared" si="48"/>
        <v>0</v>
      </c>
      <c r="U100" s="11">
        <f t="shared" si="49"/>
        <v>0</v>
      </c>
      <c r="V100" s="11">
        <f t="shared" si="50"/>
        <v>2.6518880208333333</v>
      </c>
      <c r="W100" s="11">
        <f t="shared" si="51"/>
        <v>0</v>
      </c>
      <c r="X100" s="11">
        <f t="shared" si="52"/>
        <v>0.95486111111111116</v>
      </c>
      <c r="Y100" s="11">
        <f t="shared" si="53"/>
        <v>1.9097222222222223</v>
      </c>
      <c r="Z100" s="9">
        <f t="shared" si="54"/>
        <v>5.5164713541666668</v>
      </c>
      <c r="AA100" s="9">
        <f t="shared" si="55"/>
        <v>2.2857142857142856</v>
      </c>
      <c r="AB100" s="10">
        <f t="shared" si="56"/>
        <v>669.29703896103899</v>
      </c>
      <c r="AC100" s="9">
        <f t="shared" si="57"/>
        <v>3.2307570684523812</v>
      </c>
      <c r="AD100" s="8">
        <f t="shared" si="58"/>
        <v>13533.935064935065</v>
      </c>
      <c r="AE100" s="7">
        <f t="shared" si="59"/>
        <v>946.02206103896117</v>
      </c>
    </row>
    <row r="101" spans="1:31" x14ac:dyDescent="0.25">
      <c r="A101" s="22">
        <f t="shared" ca="1" si="45"/>
        <v>46182</v>
      </c>
      <c r="B101" s="21" t="s">
        <v>2</v>
      </c>
      <c r="C101" s="20" t="s">
        <v>1</v>
      </c>
      <c r="D101" s="4" t="s">
        <v>63</v>
      </c>
      <c r="E101" s="3" t="str">
        <f>VLOOKUP(D101,'[1]ANALISIS (NEW)'!C:E,3,FALSE)</f>
        <v>1/2in CONVOLUTED SLV HOS EPROTECTOR</v>
      </c>
      <c r="F101" s="19" t="str">
        <f>VLOOKUP(D101,'[1]ANALISIS (NEW)'!C:AX,48,FALSE)</f>
        <v>DELFINGEN US INC</v>
      </c>
      <c r="G101" s="15" t="str">
        <f>VLOOKUP(D:D,'[1]ANALISIS (NEW)'!C:BY,75,FALSE)</f>
        <v>MM</v>
      </c>
      <c r="H101" s="18" t="str">
        <f>VLOOKUP(D101,'[1]ANALISIS (NEW)'!C:BF,49,FALSE)</f>
        <v xml:space="preserve">US </v>
      </c>
      <c r="I101" s="17">
        <f>VLOOKUP(D101,'[1]ANALISIS (NEW)'!C:BF,50,FALSE)</f>
        <v>9</v>
      </c>
      <c r="J101" s="16">
        <f>VLOOKUP(D101,'[1]ANALISIS (NEW)'!C:BG,57,FALSE)*1000</f>
        <v>0.23</v>
      </c>
      <c r="K101" s="15">
        <f>VLOOKUP(D101,'[1]ANALISIS (NEW)'!C:BF,56,FALSE)</f>
        <v>3002.4139999999998</v>
      </c>
      <c r="L101" s="14">
        <v>0</v>
      </c>
      <c r="M101" s="14">
        <f>VLOOKUP(D101,'[1]Inv Sem 23 pzas '!A:F,2,FALSE)/1000</f>
        <v>0</v>
      </c>
      <c r="N101" s="14">
        <f>VLOOKUP(D101,'[1]Inv Sem 23 pzas '!A:F,3,FALSE)/1000</f>
        <v>0</v>
      </c>
      <c r="O101" s="14">
        <f>VLOOKUP(D101,'[1]Inv Sem 23 pzas '!A:F,4,FALSE)/1000</f>
        <v>1040.7090000000001</v>
      </c>
      <c r="P101" s="14">
        <f>VLOOKUP(D101,'[1]Inv Sem 23 pzas '!A:F,5,FALSE)</f>
        <v>0</v>
      </c>
      <c r="Q101" s="14">
        <f>VLOOKUP(D101,'[1]Inv Sem 23 pzas '!A:F,6,FALSE)/1000</f>
        <v>9906</v>
      </c>
      <c r="R101" s="13">
        <f t="shared" si="46"/>
        <v>10946.709000000001</v>
      </c>
      <c r="S101" s="12">
        <f t="shared" si="47"/>
        <v>2517.7430700000004</v>
      </c>
      <c r="T101" s="11">
        <f t="shared" si="48"/>
        <v>0</v>
      </c>
      <c r="U101" s="11">
        <f t="shared" si="49"/>
        <v>0</v>
      </c>
      <c r="V101" s="11">
        <f t="shared" si="50"/>
        <v>0.34662408315442178</v>
      </c>
      <c r="W101" s="11">
        <f t="shared" si="51"/>
        <v>0</v>
      </c>
      <c r="X101" s="11">
        <f t="shared" si="52"/>
        <v>3.2993451269545107</v>
      </c>
      <c r="Y101" s="11">
        <f t="shared" si="53"/>
        <v>0</v>
      </c>
      <c r="Z101" s="9">
        <f t="shared" si="54"/>
        <v>3.6459692101089325</v>
      </c>
      <c r="AA101" s="9">
        <f t="shared" si="55"/>
        <v>2.2857142857142856</v>
      </c>
      <c r="AB101" s="10">
        <f t="shared" si="56"/>
        <v>1578.4119314285713</v>
      </c>
      <c r="AC101" s="9">
        <f t="shared" si="57"/>
        <v>1.3602549243946469</v>
      </c>
      <c r="AD101" s="8">
        <f t="shared" si="58"/>
        <v>4084.0484285714292</v>
      </c>
      <c r="AE101" s="7">
        <f t="shared" si="59"/>
        <v>939.33113857142871</v>
      </c>
    </row>
    <row r="102" spans="1:31" x14ac:dyDescent="0.25">
      <c r="A102" s="22">
        <f t="shared" ca="1" si="45"/>
        <v>46182</v>
      </c>
      <c r="B102" s="21" t="s">
        <v>2</v>
      </c>
      <c r="C102" s="20" t="s">
        <v>1</v>
      </c>
      <c r="D102" s="4" t="s">
        <v>62</v>
      </c>
      <c r="E102" s="3" t="str">
        <f>VLOOKUP(D102,'[1]ANALISIS (NEW)'!C:E,3,FALSE)</f>
        <v>SLV-HTR HOS PROT</v>
      </c>
      <c r="F102" s="19" t="str">
        <f>VLOOKUP(D102,'[1]ANALISIS (NEW)'!C:AX,48,FALSE)</f>
        <v>TYCO ELECTRONICS</v>
      </c>
      <c r="G102" s="15" t="str">
        <f>VLOOKUP(D:D,'[1]ANALISIS (NEW)'!C:BY,75,FALSE)</f>
        <v>MM</v>
      </c>
      <c r="H102" s="18" t="str">
        <f>VLOOKUP(D102,'[1]ANALISIS (NEW)'!C:BF,49,FALSE)</f>
        <v xml:space="preserve">US </v>
      </c>
      <c r="I102" s="17">
        <f>VLOOKUP(D102,'[1]ANALISIS (NEW)'!C:BF,50,FALSE)</f>
        <v>9</v>
      </c>
      <c r="J102" s="16">
        <f>VLOOKUP(D102,'[1]ANALISIS (NEW)'!C:BG,57,FALSE)*1000</f>
        <v>0.75</v>
      </c>
      <c r="K102" s="15">
        <f>VLOOKUP(D102,'[1]ANALISIS (NEW)'!C:BF,56,FALSE)</f>
        <v>5378.2463636363645</v>
      </c>
      <c r="L102" s="14">
        <v>3600</v>
      </c>
      <c r="M102" s="14">
        <f>VLOOKUP(D102,'[1]Inv Sem 23 pzas '!A:F,2,FALSE)/1000</f>
        <v>0</v>
      </c>
      <c r="N102" s="14">
        <f>VLOOKUP(D102,'[1]Inv Sem 23 pzas '!A:F,3,FALSE)/1000</f>
        <v>0</v>
      </c>
      <c r="O102" s="14">
        <f>VLOOKUP(D102,'[1]Inv Sem 23 pzas '!A:F,4,FALSE)/1000</f>
        <v>3318.913</v>
      </c>
      <c r="P102" s="14">
        <f>VLOOKUP(D102,'[1]Inv Sem 23 pzas '!A:F,5,FALSE)</f>
        <v>0</v>
      </c>
      <c r="Q102" s="14">
        <f>VLOOKUP(D102,'[1]Inv Sem 23 pzas '!A:F,6,FALSE)/1000</f>
        <v>6620</v>
      </c>
      <c r="R102" s="13">
        <f t="shared" si="46"/>
        <v>13538.913</v>
      </c>
      <c r="S102" s="12">
        <f t="shared" si="47"/>
        <v>10154.18475</v>
      </c>
      <c r="T102" s="11">
        <f t="shared" si="48"/>
        <v>0</v>
      </c>
      <c r="U102" s="11">
        <f t="shared" si="49"/>
        <v>0</v>
      </c>
      <c r="V102" s="11">
        <f t="shared" si="50"/>
        <v>0.61709947362024553</v>
      </c>
      <c r="W102" s="11">
        <f t="shared" si="51"/>
        <v>0</v>
      </c>
      <c r="X102" s="11">
        <f t="shared" si="52"/>
        <v>1.2308844839759359</v>
      </c>
      <c r="Y102" s="11">
        <f t="shared" si="53"/>
        <v>0.66936316349144542</v>
      </c>
      <c r="Z102" s="9">
        <f t="shared" si="54"/>
        <v>2.517347121087627</v>
      </c>
      <c r="AA102" s="9">
        <f t="shared" si="55"/>
        <v>2.2857142857142856</v>
      </c>
      <c r="AB102" s="10">
        <f t="shared" si="56"/>
        <v>9219.8509090909101</v>
      </c>
      <c r="AC102" s="9">
        <f t="shared" si="57"/>
        <v>0.23163283537334145</v>
      </c>
      <c r="AD102" s="8">
        <f t="shared" si="58"/>
        <v>1245.7784545454542</v>
      </c>
      <c r="AE102" s="7">
        <f t="shared" si="59"/>
        <v>934.33384090909067</v>
      </c>
    </row>
    <row r="103" spans="1:31" x14ac:dyDescent="0.25">
      <c r="A103" s="22">
        <f t="shared" ca="1" si="45"/>
        <v>46182</v>
      </c>
      <c r="B103" s="21" t="s">
        <v>2</v>
      </c>
      <c r="C103" s="20" t="s">
        <v>1</v>
      </c>
      <c r="D103" s="4" t="s">
        <v>61</v>
      </c>
      <c r="E103" s="3" t="str">
        <f>VLOOKUP(D103,'[1]ANALISIS (NEW)'!C:E,3,FALSE)</f>
        <v>CAP-TXV SHIPP'G GM TXV</v>
      </c>
      <c r="F103" s="19" t="str">
        <f>VLOOKUP(D103,'[1]ANALISIS (NEW)'!C:AX,48,FALSE)</f>
        <v>VPI AQUISITION LLC DBA V</v>
      </c>
      <c r="G103" s="15" t="str">
        <f>VLOOKUP(D:D,'[1]ANALISIS (NEW)'!C:BY,75,FALSE)</f>
        <v>EA</v>
      </c>
      <c r="H103" s="18" t="str">
        <f>VLOOKUP(D103,'[1]ANALISIS (NEW)'!C:BF,49,FALSE)</f>
        <v xml:space="preserve">US </v>
      </c>
      <c r="I103" s="17">
        <f>VLOOKUP(D103,'[1]ANALISIS (NEW)'!C:BF,50,FALSE)</f>
        <v>9</v>
      </c>
      <c r="J103" s="16">
        <f>VLOOKUP(D103,'[1]ANALISIS (NEW)'!C:BG,57,FALSE)</f>
        <v>0.17660000000000001</v>
      </c>
      <c r="K103" s="15">
        <f>VLOOKUP(D103,'[1]ANALISIS (NEW)'!C:BF,56,FALSE)</f>
        <v>1415.2727272727273</v>
      </c>
      <c r="L103" s="14">
        <v>600</v>
      </c>
      <c r="M103" s="14">
        <f>VLOOKUP(D103,'[1]Inv Sem 23 pzas '!A:F,2,FALSE)</f>
        <v>0</v>
      </c>
      <c r="N103" s="14">
        <f>VLOOKUP(D103,'[1]Inv Sem 23 pzas '!A:F,3,FALSE)</f>
        <v>4200</v>
      </c>
      <c r="O103" s="14">
        <f>VLOOKUP(D103,'[1]Inv Sem 23 pzas '!A:F,4,FALSE)</f>
        <v>193</v>
      </c>
      <c r="P103" s="14">
        <f>VLOOKUP(D103,'[1]Inv Sem 23 pzas '!A:F,5,FALSE)</f>
        <v>0</v>
      </c>
      <c r="Q103" s="14">
        <f>VLOOKUP(D103,'[1]Inv Sem 23 pzas '!A:F,6,FALSE)</f>
        <v>3520</v>
      </c>
      <c r="R103" s="13">
        <f t="shared" si="46"/>
        <v>8513</v>
      </c>
      <c r="S103" s="12">
        <f t="shared" si="47"/>
        <v>1503.3958</v>
      </c>
      <c r="T103" s="11">
        <f t="shared" si="48"/>
        <v>0</v>
      </c>
      <c r="U103" s="11">
        <f t="shared" si="49"/>
        <v>2.9676258992805757</v>
      </c>
      <c r="V103" s="11">
        <f t="shared" si="50"/>
        <v>0.13636947584789311</v>
      </c>
      <c r="W103" s="11">
        <f t="shared" si="51"/>
        <v>0</v>
      </c>
      <c r="X103" s="11">
        <f t="shared" si="52"/>
        <v>2.487153134635149</v>
      </c>
      <c r="Y103" s="11">
        <f t="shared" si="53"/>
        <v>0.42394655704008222</v>
      </c>
      <c r="Z103" s="9">
        <f t="shared" si="54"/>
        <v>6.0150950668037009</v>
      </c>
      <c r="AA103" s="9">
        <f t="shared" si="55"/>
        <v>2.2857142857142856</v>
      </c>
      <c r="AB103" s="10">
        <f t="shared" si="56"/>
        <v>571.28494545454544</v>
      </c>
      <c r="AC103" s="9">
        <f t="shared" si="57"/>
        <v>3.7293807810894153</v>
      </c>
      <c r="AD103" s="8">
        <f t="shared" si="58"/>
        <v>5278.0909090909108</v>
      </c>
      <c r="AE103" s="7">
        <f t="shared" si="59"/>
        <v>932.11085454545491</v>
      </c>
    </row>
    <row r="104" spans="1:31" x14ac:dyDescent="0.25">
      <c r="A104" s="22">
        <f t="shared" ca="1" si="45"/>
        <v>46182</v>
      </c>
      <c r="B104" s="21" t="s">
        <v>2</v>
      </c>
      <c r="C104" s="20" t="s">
        <v>1</v>
      </c>
      <c r="D104" s="4" t="s">
        <v>60</v>
      </c>
      <c r="E104" s="3" t="str">
        <f>VLOOKUP(D104,'[1]ANALISIS (NEW)'!C:E,3,FALSE)</f>
        <v>TAPE - 1in BLACK</v>
      </c>
      <c r="F104" s="19" t="str">
        <f>VLOOKUP(D104,'[1]ANALISIS (NEW)'!C:AX,48,FALSE)</f>
        <v>SUPPLY TECHNOLOGIES  LLC</v>
      </c>
      <c r="G104" s="15" t="str">
        <f>VLOOKUP(D:D,'[1]ANALISIS (NEW)'!C:BY,75,FALSE)</f>
        <v>MM</v>
      </c>
      <c r="H104" s="18" t="str">
        <f>VLOOKUP(D104,'[1]ANALISIS (NEW)'!C:BF,49,FALSE)</f>
        <v xml:space="preserve">US </v>
      </c>
      <c r="I104" s="17">
        <f>VLOOKUP(D104,'[1]ANALISIS (NEW)'!C:BF,50,FALSE)</f>
        <v>9</v>
      </c>
      <c r="J104" s="16">
        <f>VLOOKUP(D104,'[1]ANALISIS (NEW)'!C:BG,57,FALSE)*1000</f>
        <v>0.11</v>
      </c>
      <c r="K104" s="15">
        <f>VLOOKUP(D104,'[1]ANALISIS (NEW)'!C:BF,56,FALSE)</f>
        <v>886.80131818181803</v>
      </c>
      <c r="L104" s="14">
        <v>0</v>
      </c>
      <c r="M104" s="14">
        <f>VLOOKUP(D104,'[1]Inv Sem 23 pzas '!A:F,2,FALSE)/1000</f>
        <v>0</v>
      </c>
      <c r="N104" s="14">
        <f>VLOOKUP(D104,'[1]Inv Sem 23 pzas '!A:F,3,FALSE)/1000</f>
        <v>3149</v>
      </c>
      <c r="O104" s="14">
        <f>VLOOKUP(D104,'[1]Inv Sem 23 pzas '!A:F,4,FALSE)/1000</f>
        <v>-2125.2055</v>
      </c>
      <c r="P104" s="14">
        <f>VLOOKUP(D104,'[1]Inv Sem 23 pzas '!A:F,5,FALSE)</f>
        <v>0</v>
      </c>
      <c r="Q104" s="14">
        <f>VLOOKUP(D104,'[1]Inv Sem 23 pzas '!A:F,6,FALSE)/1000</f>
        <v>9448</v>
      </c>
      <c r="R104" s="13">
        <f t="shared" si="46"/>
        <v>10471.7945</v>
      </c>
      <c r="S104" s="12">
        <f t="shared" si="47"/>
        <v>1151.897395</v>
      </c>
      <c r="T104" s="11">
        <f t="shared" si="48"/>
        <v>0</v>
      </c>
      <c r="U104" s="11">
        <f t="shared" si="49"/>
        <v>3.5509645006575989</v>
      </c>
      <c r="V104" s="11">
        <f t="shared" si="50"/>
        <v>-2.3964843718965652</v>
      </c>
      <c r="W104" s="11">
        <f t="shared" si="51"/>
        <v>0</v>
      </c>
      <c r="X104" s="11">
        <f t="shared" si="52"/>
        <v>10.654021150274053</v>
      </c>
      <c r="Y104" s="11">
        <f t="shared" si="53"/>
        <v>0</v>
      </c>
      <c r="Z104" s="9">
        <f t="shared" si="54"/>
        <v>11.808501279035086</v>
      </c>
      <c r="AA104" s="9">
        <f t="shared" si="55"/>
        <v>2.2857142857142856</v>
      </c>
      <c r="AB104" s="10">
        <f t="shared" si="56"/>
        <v>222.96718857142852</v>
      </c>
      <c r="AC104" s="9">
        <f t="shared" si="57"/>
        <v>9.5227869933207998</v>
      </c>
      <c r="AD104" s="8">
        <f t="shared" si="58"/>
        <v>8444.8200584415572</v>
      </c>
      <c r="AE104" s="7">
        <f t="shared" si="59"/>
        <v>928.9302064285713</v>
      </c>
    </row>
    <row r="105" spans="1:31" x14ac:dyDescent="0.25">
      <c r="A105" s="22">
        <f t="shared" ca="1" si="45"/>
        <v>46182</v>
      </c>
      <c r="B105" s="21" t="s">
        <v>2</v>
      </c>
      <c r="C105" s="20" t="s">
        <v>1</v>
      </c>
      <c r="D105" s="4" t="s">
        <v>59</v>
      </c>
      <c r="E105" s="3" t="str">
        <f>VLOOKUP(D105,'[1]ANALISIS (NEW)'!C:E,3,FALSE)</f>
        <v>TIE STRAP</v>
      </c>
      <c r="F105" s="19" t="str">
        <f>VLOOKUP(D105,'[1]ANALISIS (NEW)'!C:AX,48,FALSE)</f>
        <v>EMHART TEKNOLOGIES LLC</v>
      </c>
      <c r="G105" s="15" t="str">
        <f>VLOOKUP(D:D,'[1]ANALISIS (NEW)'!C:BY,75,FALSE)</f>
        <v>EA</v>
      </c>
      <c r="H105" s="18" t="str">
        <f>VLOOKUP(D105,'[1]ANALISIS (NEW)'!C:BF,49,FALSE)</f>
        <v xml:space="preserve">US </v>
      </c>
      <c r="I105" s="17">
        <f>VLOOKUP(D105,'[1]ANALISIS (NEW)'!C:BF,50,FALSE)</f>
        <v>9</v>
      </c>
      <c r="J105" s="16">
        <f>VLOOKUP(D105,'[1]ANALISIS (NEW)'!C:BG,57,FALSE)</f>
        <v>1.6199999999999999E-2</v>
      </c>
      <c r="K105" s="15">
        <f>VLOOKUP(D105,'[1]ANALISIS (NEW)'!C:BF,56,FALSE)</f>
        <v>22265.81818181818</v>
      </c>
      <c r="L105" s="14">
        <v>0</v>
      </c>
      <c r="M105" s="14">
        <f>VLOOKUP(D105,'[1]Inv Sem 23 pzas '!A:F,2,FALSE)</f>
        <v>0</v>
      </c>
      <c r="N105" s="14">
        <f>VLOOKUP(D105,'[1]Inv Sem 23 pzas '!A:F,3,FALSE)</f>
        <v>10000</v>
      </c>
      <c r="O105" s="14">
        <f>VLOOKUP(D105,'[1]Inv Sem 23 pzas '!A:F,4,FALSE)</f>
        <v>11954</v>
      </c>
      <c r="P105" s="14">
        <f>VLOOKUP(D105,'[1]Inv Sem 23 pzas '!A:F,5,FALSE)</f>
        <v>0</v>
      </c>
      <c r="Q105" s="14">
        <f>VLOOKUP(D105,'[1]Inv Sem 23 pzas '!A:F,6,FALSE)</f>
        <v>85000</v>
      </c>
      <c r="R105" s="13">
        <f t="shared" si="46"/>
        <v>106954</v>
      </c>
      <c r="S105" s="12">
        <f t="shared" si="47"/>
        <v>1732.6547999999998</v>
      </c>
      <c r="T105" s="11">
        <f t="shared" si="48"/>
        <v>0</v>
      </c>
      <c r="U105" s="11">
        <f t="shared" si="49"/>
        <v>0.44911891035586554</v>
      </c>
      <c r="V105" s="11">
        <f t="shared" si="50"/>
        <v>0.53687674543940167</v>
      </c>
      <c r="W105" s="11">
        <f t="shared" si="51"/>
        <v>0</v>
      </c>
      <c r="X105" s="11">
        <f t="shared" si="52"/>
        <v>3.8175107380248572</v>
      </c>
      <c r="Y105" s="11">
        <f t="shared" si="53"/>
        <v>0</v>
      </c>
      <c r="Z105" s="9">
        <f t="shared" si="54"/>
        <v>4.8035063938201246</v>
      </c>
      <c r="AA105" s="9">
        <f t="shared" si="55"/>
        <v>2.2857142857142856</v>
      </c>
      <c r="AB105" s="10">
        <f t="shared" si="56"/>
        <v>824.47143896103876</v>
      </c>
      <c r="AC105" s="9">
        <f t="shared" si="57"/>
        <v>2.517792108105839</v>
      </c>
      <c r="AD105" s="8">
        <f t="shared" si="58"/>
        <v>56060.701298701315</v>
      </c>
      <c r="AE105" s="7">
        <f t="shared" si="59"/>
        <v>908.18336103896127</v>
      </c>
    </row>
    <row r="106" spans="1:31" x14ac:dyDescent="0.25">
      <c r="A106" s="22">
        <f t="shared" ca="1" si="45"/>
        <v>46182</v>
      </c>
      <c r="B106" s="21" t="s">
        <v>2</v>
      </c>
      <c r="C106" s="20" t="s">
        <v>1</v>
      </c>
      <c r="D106" s="4" t="s">
        <v>58</v>
      </c>
      <c r="E106" s="3" t="str">
        <f>VLOOKUP(D106,'[1]ANALISIS (NEW)'!C:E,3,FALSE)</f>
        <v>RIVET 3,2X8,0 BLIND STL/ STL</v>
      </c>
      <c r="F106" s="19" t="str">
        <f>VLOOKUP(D106,'[1]ANALISIS (NEW)'!C:AX,48,FALSE)</f>
        <v>EMHART TEKNOLOGIES LLC S</v>
      </c>
      <c r="G106" s="15" t="str">
        <f>VLOOKUP(D:D,'[1]ANALISIS (NEW)'!C:BY,75,FALSE)</f>
        <v>EA</v>
      </c>
      <c r="H106" s="18" t="str">
        <f>VLOOKUP(D106,'[1]ANALISIS (NEW)'!C:BF,49,FALSE)</f>
        <v xml:space="preserve">US </v>
      </c>
      <c r="I106" s="17">
        <f>VLOOKUP(D106,'[1]ANALISIS (NEW)'!C:BF,50,FALSE)</f>
        <v>9</v>
      </c>
      <c r="J106" s="16">
        <f>VLOOKUP(D106,'[1]ANALISIS (NEW)'!C:BG,57,FALSE)</f>
        <v>3.3059999999999999E-2</v>
      </c>
      <c r="K106" s="15">
        <f>VLOOKUP(D106,'[1]ANALISIS (NEW)'!C:BF,56,FALSE)</f>
        <v>10375.545454545454</v>
      </c>
      <c r="L106" s="14">
        <v>0</v>
      </c>
      <c r="M106" s="14">
        <f>VLOOKUP(D106,'[1]Inv Sem 23 pzas '!A:F,2,FALSE)</f>
        <v>0</v>
      </c>
      <c r="N106" s="14">
        <f>VLOOKUP(D106,'[1]Inv Sem 23 pzas '!A:F,3,FALSE)</f>
        <v>0</v>
      </c>
      <c r="O106" s="14">
        <f>VLOOKUP(D106,'[1]Inv Sem 23 pzas '!A:F,4,FALSE)</f>
        <v>42178</v>
      </c>
      <c r="P106" s="14">
        <f>VLOOKUP(D106,'[1]Inv Sem 23 pzas '!A:F,5,FALSE)</f>
        <v>0</v>
      </c>
      <c r="Q106" s="14">
        <f>VLOOKUP(D106,'[1]Inv Sem 23 pzas '!A:F,6,FALSE)</f>
        <v>8000</v>
      </c>
      <c r="R106" s="13">
        <f t="shared" si="46"/>
        <v>50178</v>
      </c>
      <c r="S106" s="12">
        <f t="shared" si="47"/>
        <v>1658.8846799999999</v>
      </c>
      <c r="T106" s="11">
        <f t="shared" si="48"/>
        <v>0</v>
      </c>
      <c r="U106" s="11">
        <f t="shared" si="49"/>
        <v>0</v>
      </c>
      <c r="V106" s="11">
        <f t="shared" si="50"/>
        <v>4.0651356774233118</v>
      </c>
      <c r="W106" s="11">
        <f t="shared" si="51"/>
        <v>0</v>
      </c>
      <c r="X106" s="11">
        <f t="shared" si="52"/>
        <v>0.77104380054498778</v>
      </c>
      <c r="Y106" s="11">
        <f t="shared" si="53"/>
        <v>0</v>
      </c>
      <c r="Z106" s="9">
        <f t="shared" si="54"/>
        <v>4.8361794779682992</v>
      </c>
      <c r="AA106" s="9">
        <f t="shared" si="55"/>
        <v>2.2857142857142856</v>
      </c>
      <c r="AB106" s="10">
        <f t="shared" si="56"/>
        <v>784.0355033766233</v>
      </c>
      <c r="AC106" s="9">
        <f t="shared" si="57"/>
        <v>2.5504651922540136</v>
      </c>
      <c r="AD106" s="8">
        <f t="shared" si="58"/>
        <v>26462.46753246753</v>
      </c>
      <c r="AE106" s="7">
        <f t="shared" si="59"/>
        <v>874.84917662337648</v>
      </c>
    </row>
    <row r="107" spans="1:31" x14ac:dyDescent="0.25">
      <c r="A107" s="22">
        <f t="shared" ca="1" si="45"/>
        <v>46182</v>
      </c>
      <c r="B107" s="21" t="s">
        <v>2</v>
      </c>
      <c r="C107" s="20" t="s">
        <v>1</v>
      </c>
      <c r="D107" s="4" t="s">
        <v>57</v>
      </c>
      <c r="E107" s="3" t="str">
        <f>VLOOKUP(D107,'[1]ANALISIS (NEW)'!C:E,3,FALSE)</f>
        <v>SLV ABRAS BRD MONOFI D19_T0.8_L0490</v>
      </c>
      <c r="F107" s="19" t="str">
        <f>VLOOKUP(D107,'[1]ANALISIS (NEW)'!C:AX,48,FALSE)</f>
        <v xml:space="preserve">FEDERAL-MOGUL POWERTRAIN- Qro </v>
      </c>
      <c r="G107" s="15" t="str">
        <f>VLOOKUP(D:D,'[1]ANALISIS (NEW)'!C:BY,75,FALSE)</f>
        <v>EA</v>
      </c>
      <c r="H107" s="18" t="str">
        <f>VLOOKUP(D107,'[1]ANALISIS (NEW)'!C:BF,49,FALSE)</f>
        <v xml:space="preserve">US </v>
      </c>
      <c r="I107" s="17">
        <f>VLOOKUP(D107,'[1]ANALISIS (NEW)'!C:BF,50,FALSE)</f>
        <v>9</v>
      </c>
      <c r="J107" s="16">
        <f>VLOOKUP(D107,'[1]ANALISIS (NEW)'!C:BG,57,FALSE)</f>
        <v>0.38789999999999997</v>
      </c>
      <c r="K107" s="15">
        <f>VLOOKUP(D107,'[1]ANALISIS (NEW)'!C:BF,56,FALSE)</f>
        <v>1387.090909090909</v>
      </c>
      <c r="L107" s="14">
        <v>0</v>
      </c>
      <c r="M107" s="14">
        <f>VLOOKUP(D107,'[1]Inv Sem 23 pzas '!A:F,2,FALSE)</f>
        <v>0</v>
      </c>
      <c r="N107" s="14">
        <f>VLOOKUP(D107,'[1]Inv Sem 23 pzas '!A:F,3,FALSE)</f>
        <v>2400</v>
      </c>
      <c r="O107" s="14">
        <f>VLOOKUP(D107,'[1]Inv Sem 23 pzas '!A:F,4,FALSE)</f>
        <v>-349</v>
      </c>
      <c r="P107" s="14">
        <f>VLOOKUP(D107,'[1]Inv Sem 23 pzas '!A:F,5,FALSE)</f>
        <v>0</v>
      </c>
      <c r="Q107" s="14">
        <f>VLOOKUP(D107,'[1]Inv Sem 23 pzas '!A:F,6,FALSE)</f>
        <v>3300</v>
      </c>
      <c r="R107" s="13">
        <f t="shared" si="46"/>
        <v>5351</v>
      </c>
      <c r="S107" s="12">
        <f t="shared" si="47"/>
        <v>2075.6529</v>
      </c>
      <c r="T107" s="11">
        <f t="shared" si="48"/>
        <v>0</v>
      </c>
      <c r="U107" s="11">
        <f t="shared" si="49"/>
        <v>1.730239874164373</v>
      </c>
      <c r="V107" s="11">
        <f t="shared" si="50"/>
        <v>-0.25160571503473589</v>
      </c>
      <c r="W107" s="11">
        <f t="shared" si="51"/>
        <v>0</v>
      </c>
      <c r="X107" s="11">
        <f t="shared" si="52"/>
        <v>2.3790798269760129</v>
      </c>
      <c r="Y107" s="11">
        <f t="shared" si="53"/>
        <v>0</v>
      </c>
      <c r="Z107" s="9">
        <f t="shared" si="54"/>
        <v>3.85771398610565</v>
      </c>
      <c r="AA107" s="9">
        <f t="shared" si="55"/>
        <v>2.2857142857142856</v>
      </c>
      <c r="AB107" s="10">
        <f t="shared" si="56"/>
        <v>1229.8344311688309</v>
      </c>
      <c r="AC107" s="9">
        <f t="shared" si="57"/>
        <v>1.5719997003913644</v>
      </c>
      <c r="AD107" s="8">
        <f t="shared" si="58"/>
        <v>2180.5064935064943</v>
      </c>
      <c r="AE107" s="7">
        <f t="shared" si="59"/>
        <v>845.81846883116907</v>
      </c>
    </row>
    <row r="108" spans="1:31" x14ac:dyDescent="0.25">
      <c r="A108" s="22">
        <f t="shared" ca="1" si="45"/>
        <v>46182</v>
      </c>
      <c r="B108" s="21" t="s">
        <v>2</v>
      </c>
      <c r="C108" s="20" t="s">
        <v>1</v>
      </c>
      <c r="D108" s="4" t="s">
        <v>56</v>
      </c>
      <c r="E108" s="3" t="str">
        <f>VLOOKUP(D108,'[1]ANALISIS (NEW)'!C:E,3,FALSE)</f>
        <v>LABEL-A/C-label - A/C</v>
      </c>
      <c r="F108" s="19" t="str">
        <f>VLOOKUP(D108,'[1]ANALISIS (NEW)'!C:AX,48,FALSE)</f>
        <v>GENERAL LABELS AND PRINT</v>
      </c>
      <c r="G108" s="15" t="str">
        <f>VLOOKUP(D:D,'[1]ANALISIS (NEW)'!C:BY,75,FALSE)</f>
        <v>EA</v>
      </c>
      <c r="H108" s="18" t="str">
        <f>VLOOKUP(D108,'[1]ANALISIS (NEW)'!C:BF,49,FALSE)</f>
        <v xml:space="preserve">US </v>
      </c>
      <c r="I108" s="17">
        <f>VLOOKUP(D108,'[1]ANALISIS (NEW)'!C:BF,50,FALSE)</f>
        <v>9</v>
      </c>
      <c r="J108" s="16">
        <f>VLOOKUP(D108,'[1]ANALISIS (NEW)'!C:BG,57,FALSE)</f>
        <v>0.24330000000000002</v>
      </c>
      <c r="K108" s="15">
        <f>VLOOKUP(D108,'[1]ANALISIS (NEW)'!C:BF,56,FALSE)</f>
        <v>2</v>
      </c>
      <c r="L108" s="14">
        <v>0</v>
      </c>
      <c r="M108" s="14">
        <f>VLOOKUP(D108,'[1]Inv Sem 23 pzas '!A:F,2,FALSE)</f>
        <v>0</v>
      </c>
      <c r="N108" s="14">
        <f>VLOOKUP(D108,'[1]Inv Sem 23 pzas '!A:F,3,FALSE)</f>
        <v>0</v>
      </c>
      <c r="O108" s="14">
        <f>VLOOKUP(D108,'[1]Inv Sem 23 pzas '!A:F,4,FALSE)</f>
        <v>3251</v>
      </c>
      <c r="P108" s="14">
        <f>VLOOKUP(D108,'[1]Inv Sem 23 pzas '!A:F,5,FALSE)</f>
        <v>0</v>
      </c>
      <c r="Q108" s="14">
        <f>VLOOKUP(D108,'[1]Inv Sem 23 pzas '!A:F,6,FALSE)</f>
        <v>0</v>
      </c>
      <c r="R108" s="13">
        <f t="shared" si="46"/>
        <v>3251</v>
      </c>
      <c r="S108" s="12">
        <f t="shared" si="47"/>
        <v>790.9683</v>
      </c>
      <c r="T108" s="11">
        <f t="shared" si="48"/>
        <v>0</v>
      </c>
      <c r="U108" s="11">
        <f t="shared" si="49"/>
        <v>0</v>
      </c>
      <c r="V108" s="11">
        <f t="shared" si="50"/>
        <v>1625.5</v>
      </c>
      <c r="W108" s="11">
        <f t="shared" si="51"/>
        <v>0</v>
      </c>
      <c r="X108" s="11">
        <f t="shared" si="52"/>
        <v>0</v>
      </c>
      <c r="Y108" s="11">
        <f t="shared" si="53"/>
        <v>0</v>
      </c>
      <c r="Z108" s="9">
        <f t="shared" si="54"/>
        <v>1625.5</v>
      </c>
      <c r="AA108" s="9">
        <f t="shared" si="55"/>
        <v>2.2857142857142856</v>
      </c>
      <c r="AB108" s="10">
        <f t="shared" si="56"/>
        <v>1.1122285714285713</v>
      </c>
      <c r="AC108" s="9">
        <f t="shared" si="57"/>
        <v>1623.2142857142858</v>
      </c>
      <c r="AD108" s="8">
        <f t="shared" si="58"/>
        <v>3246.4285714285716</v>
      </c>
      <c r="AE108" s="7">
        <f t="shared" si="59"/>
        <v>789.85607142857157</v>
      </c>
    </row>
    <row r="109" spans="1:31" x14ac:dyDescent="0.25">
      <c r="A109" s="22">
        <f t="shared" ca="1" si="45"/>
        <v>46182</v>
      </c>
      <c r="B109" s="21" t="s">
        <v>2</v>
      </c>
      <c r="C109" s="20" t="s">
        <v>1</v>
      </c>
      <c r="D109" s="4" t="s">
        <v>55</v>
      </c>
      <c r="E109" s="3" t="str">
        <f>VLOOKUP(D109,'[1]ANALISIS (NEW)'!C:E,3,FALSE)</f>
        <v>O-RING HNBR 16X13.6X2.43</v>
      </c>
      <c r="F109" s="19" t="str">
        <f>VLOOKUP(D109,'[1]ANALISIS (NEW)'!C:AX,48,FALSE)</f>
        <v>PARKER HANNIFIN CORP</v>
      </c>
      <c r="G109" s="15" t="str">
        <f>VLOOKUP(D:D,'[1]ANALISIS (NEW)'!C:BY,75,FALSE)</f>
        <v>EA</v>
      </c>
      <c r="H109" s="18" t="str">
        <f>VLOOKUP(D109,'[1]ANALISIS (NEW)'!C:BF,49,FALSE)</f>
        <v xml:space="preserve">US </v>
      </c>
      <c r="I109" s="17">
        <f>VLOOKUP(D109,'[1]ANALISIS (NEW)'!C:BF,50,FALSE)</f>
        <v>9</v>
      </c>
      <c r="J109" s="16">
        <f>VLOOKUP(D109,'[1]ANALISIS (NEW)'!C:BG,57,FALSE)</f>
        <v>5.0500000000000003E-2</v>
      </c>
      <c r="K109" s="15">
        <f>VLOOKUP(D109,'[1]ANALISIS (NEW)'!C:BF,56,FALSE)</f>
        <v>1058.8181818181818</v>
      </c>
      <c r="L109" s="14">
        <v>0</v>
      </c>
      <c r="M109" s="14">
        <f>VLOOKUP(D109,'[1]Inv Sem 23 pzas '!A:F,2,FALSE)</f>
        <v>0</v>
      </c>
      <c r="N109" s="14">
        <f>VLOOKUP(D109,'[1]Inv Sem 23 pzas '!A:F,3,FALSE)</f>
        <v>0</v>
      </c>
      <c r="O109" s="14">
        <f>VLOOKUP(D109,'[1]Inv Sem 23 pzas '!A:F,4,FALSE)</f>
        <v>6914</v>
      </c>
      <c r="P109" s="14">
        <f>VLOOKUP(D109,'[1]Inv Sem 23 pzas '!A:F,5,FALSE)</f>
        <v>0</v>
      </c>
      <c r="Q109" s="14">
        <f>VLOOKUP(D109,'[1]Inv Sem 23 pzas '!A:F,6,FALSE)</f>
        <v>10426</v>
      </c>
      <c r="R109" s="13">
        <f t="shared" si="46"/>
        <v>17340</v>
      </c>
      <c r="S109" s="12">
        <f t="shared" si="47"/>
        <v>875.67000000000007</v>
      </c>
      <c r="T109" s="11">
        <f t="shared" si="48"/>
        <v>0</v>
      </c>
      <c r="U109" s="11">
        <f t="shared" si="49"/>
        <v>0</v>
      </c>
      <c r="V109" s="11">
        <f t="shared" si="50"/>
        <v>6.5299218682922646</v>
      </c>
      <c r="W109" s="11">
        <f t="shared" si="51"/>
        <v>0</v>
      </c>
      <c r="X109" s="11">
        <f t="shared" si="52"/>
        <v>9.8468275092298452</v>
      </c>
      <c r="Y109" s="11">
        <f t="shared" si="53"/>
        <v>0</v>
      </c>
      <c r="Z109" s="9">
        <f t="shared" si="54"/>
        <v>16.37674937752211</v>
      </c>
      <c r="AA109" s="9">
        <f t="shared" si="55"/>
        <v>2.2857142857142856</v>
      </c>
      <c r="AB109" s="10">
        <f t="shared" si="56"/>
        <v>122.21787012987014</v>
      </c>
      <c r="AC109" s="9">
        <f t="shared" si="57"/>
        <v>14.091035091807825</v>
      </c>
      <c r="AD109" s="8">
        <f t="shared" si="58"/>
        <v>14919.844155844157</v>
      </c>
      <c r="AE109" s="7">
        <f t="shared" si="59"/>
        <v>753.45212987012997</v>
      </c>
    </row>
    <row r="110" spans="1:31" x14ac:dyDescent="0.25">
      <c r="A110" s="22">
        <f t="shared" ca="1" si="45"/>
        <v>46182</v>
      </c>
      <c r="B110" s="21" t="s">
        <v>2</v>
      </c>
      <c r="C110" s="20" t="s">
        <v>1</v>
      </c>
      <c r="D110" s="4" t="s">
        <v>54</v>
      </c>
      <c r="E110" s="3" t="str">
        <f>VLOOKUP(D110,'[1]ANALISIS (NEW)'!C:E,3,FALSE)</f>
        <v>SLV ABRAS BRD TWIST TUBE D16_T0.57_L0090</v>
      </c>
      <c r="F110" s="19" t="str">
        <f>VLOOKUP(D110,'[1]ANALISIS (NEW)'!C:AX,48,FALSE)</f>
        <v xml:space="preserve">FEDERAL-MOGUL POWERTRAIN- Qro </v>
      </c>
      <c r="G110" s="15" t="str">
        <f>VLOOKUP(D:D,'[1]ANALISIS (NEW)'!C:BY,75,FALSE)</f>
        <v>EA</v>
      </c>
      <c r="H110" s="18" t="str">
        <f>VLOOKUP(D110,'[1]ANALISIS (NEW)'!C:BF,49,FALSE)</f>
        <v xml:space="preserve">US </v>
      </c>
      <c r="I110" s="17">
        <f>VLOOKUP(D110,'[1]ANALISIS (NEW)'!C:BF,50,FALSE)</f>
        <v>9</v>
      </c>
      <c r="J110" s="16">
        <f>VLOOKUP(D110,'[1]ANALISIS (NEW)'!C:BG,57,FALSE)</f>
        <v>7.6299999999999993E-2</v>
      </c>
      <c r="K110" s="15">
        <f>VLOOKUP(D110,'[1]ANALISIS (NEW)'!C:BF,56,FALSE)</f>
        <v>4.0909090909090908</v>
      </c>
      <c r="L110" s="14">
        <v>0</v>
      </c>
      <c r="M110" s="14">
        <f>VLOOKUP(D110,'[1]Inv Sem 23 pzas '!A:F,2,FALSE)</f>
        <v>0</v>
      </c>
      <c r="N110" s="14">
        <f>VLOOKUP(D110,'[1]Inv Sem 23 pzas '!A:F,3,FALSE)</f>
        <v>0</v>
      </c>
      <c r="O110" s="14">
        <f>VLOOKUP(D110,'[1]Inv Sem 23 pzas '!A:F,4,FALSE)</f>
        <v>1483</v>
      </c>
      <c r="P110" s="14">
        <f>VLOOKUP(D110,'[1]Inv Sem 23 pzas '!A:F,5,FALSE)</f>
        <v>0</v>
      </c>
      <c r="Q110" s="14">
        <f>VLOOKUP(D110,'[1]Inv Sem 23 pzas '!A:F,6,FALSE)</f>
        <v>7744</v>
      </c>
      <c r="R110" s="13">
        <f t="shared" si="46"/>
        <v>9227</v>
      </c>
      <c r="S110" s="12">
        <f t="shared" si="47"/>
        <v>704.02009999999996</v>
      </c>
      <c r="T110" s="11">
        <f t="shared" si="48"/>
        <v>0</v>
      </c>
      <c r="U110" s="11">
        <f t="shared" si="49"/>
        <v>0</v>
      </c>
      <c r="V110" s="11">
        <f t="shared" si="50"/>
        <v>362.51111111111112</v>
      </c>
      <c r="W110" s="11">
        <f t="shared" si="51"/>
        <v>0</v>
      </c>
      <c r="X110" s="11">
        <f t="shared" si="52"/>
        <v>1892.9777777777779</v>
      </c>
      <c r="Y110" s="11">
        <f t="shared" si="53"/>
        <v>0</v>
      </c>
      <c r="Z110" s="9">
        <f t="shared" si="54"/>
        <v>2255.4888888888891</v>
      </c>
      <c r="AA110" s="9">
        <f t="shared" si="55"/>
        <v>2.2857142857142856</v>
      </c>
      <c r="AB110" s="10">
        <f t="shared" si="56"/>
        <v>0.71345454545454534</v>
      </c>
      <c r="AC110" s="9">
        <f t="shared" si="57"/>
        <v>2253.2031746031748</v>
      </c>
      <c r="AD110" s="8">
        <f t="shared" si="58"/>
        <v>9217.6493506493516</v>
      </c>
      <c r="AE110" s="7">
        <f t="shared" si="59"/>
        <v>703.30664545454545</v>
      </c>
    </row>
    <row r="111" spans="1:31" x14ac:dyDescent="0.25">
      <c r="A111" s="22">
        <f t="shared" ca="1" si="45"/>
        <v>46182</v>
      </c>
      <c r="B111" s="21" t="s">
        <v>2</v>
      </c>
      <c r="C111" s="20" t="s">
        <v>1</v>
      </c>
      <c r="D111" s="4" t="s">
        <v>53</v>
      </c>
      <c r="E111" s="3" t="str">
        <f>VLOOKUP(D111,'[1]ANALISIS (NEW)'!C:E,3,FALSE)</f>
        <v>BRKT/CLIP-PLASTIC CLIP</v>
      </c>
      <c r="F111" s="19" t="str">
        <f>VLOOKUP(D111,'[1]ANALISIS (NEW)'!C:AX,48,FALSE)</f>
        <v>HELLERMANN TYTON CORPORA</v>
      </c>
      <c r="G111" s="15" t="str">
        <f>VLOOKUP(D:D,'[1]ANALISIS (NEW)'!C:BY,75,FALSE)</f>
        <v>EA</v>
      </c>
      <c r="H111" s="18" t="str">
        <f>VLOOKUP(D111,'[1]ANALISIS (NEW)'!C:BF,49,FALSE)</f>
        <v xml:space="preserve">US </v>
      </c>
      <c r="I111" s="17">
        <f>VLOOKUP(D111,'[1]ANALISIS (NEW)'!C:BF,50,FALSE)</f>
        <v>9</v>
      </c>
      <c r="J111" s="16">
        <f>VLOOKUP(D111,'[1]ANALISIS (NEW)'!C:BG,57,FALSE)</f>
        <v>0.1119</v>
      </c>
      <c r="K111" s="15">
        <f>VLOOKUP(D111,'[1]ANALISIS (NEW)'!C:BF,56,FALSE)+0.1</f>
        <v>0.28181818181818186</v>
      </c>
      <c r="L111" s="14">
        <v>0</v>
      </c>
      <c r="M111" s="14">
        <f>VLOOKUP(D111,'[1]Inv Sem 23 pzas '!A:F,2,FALSE)</f>
        <v>0</v>
      </c>
      <c r="N111" s="14">
        <f>VLOOKUP(D111,'[1]Inv Sem 23 pzas '!A:F,3,FALSE)</f>
        <v>0</v>
      </c>
      <c r="O111" s="14">
        <f>VLOOKUP(D111,'[1]Inv Sem 23 pzas '!A:F,4,FALSE)</f>
        <v>1452</v>
      </c>
      <c r="P111" s="14">
        <f>VLOOKUP(D111,'[1]Inv Sem 23 pzas '!A:F,5,FALSE)</f>
        <v>0</v>
      </c>
      <c r="Q111" s="14">
        <f>VLOOKUP(D111,'[1]Inv Sem 23 pzas '!A:F,6,FALSE)</f>
        <v>4500</v>
      </c>
      <c r="R111" s="13">
        <f t="shared" si="46"/>
        <v>5952</v>
      </c>
      <c r="S111" s="12">
        <f t="shared" si="47"/>
        <v>666.02880000000005</v>
      </c>
      <c r="T111" s="11">
        <f t="shared" si="48"/>
        <v>0</v>
      </c>
      <c r="U111" s="11">
        <f t="shared" si="49"/>
        <v>0</v>
      </c>
      <c r="V111" s="11">
        <f t="shared" si="50"/>
        <v>5152.2580645161279</v>
      </c>
      <c r="W111" s="11">
        <f t="shared" si="51"/>
        <v>0</v>
      </c>
      <c r="X111" s="11">
        <f t="shared" si="52"/>
        <v>15967.741935483869</v>
      </c>
      <c r="Y111" s="11">
        <f t="shared" si="53"/>
        <v>0</v>
      </c>
      <c r="Z111" s="9">
        <f t="shared" si="54"/>
        <v>21119.999999999996</v>
      </c>
      <c r="AA111" s="9">
        <f t="shared" si="55"/>
        <v>2.2857142857142856</v>
      </c>
      <c r="AB111" s="10">
        <f t="shared" si="56"/>
        <v>7.2081038961038971E-2</v>
      </c>
      <c r="AC111" s="9">
        <f t="shared" si="57"/>
        <v>21117.714285714283</v>
      </c>
      <c r="AD111" s="8">
        <f t="shared" si="58"/>
        <v>5951.3558441558444</v>
      </c>
      <c r="AE111" s="7">
        <f t="shared" si="59"/>
        <v>665.95671896103897</v>
      </c>
    </row>
    <row r="112" spans="1:31" x14ac:dyDescent="0.25">
      <c r="A112" s="22">
        <f t="shared" ca="1" si="45"/>
        <v>46182</v>
      </c>
      <c r="B112" s="21" t="s">
        <v>2</v>
      </c>
      <c r="C112" s="20" t="s">
        <v>1</v>
      </c>
      <c r="D112" s="4" t="s">
        <v>52</v>
      </c>
      <c r="E112" s="3" t="str">
        <f>VLOOKUP(D112,'[1]ANALISIS (NEW)'!C:E,3,FALSE)</f>
        <v>SLV ABRAS BRD MONOFI</v>
      </c>
      <c r="F112" s="19" t="str">
        <f>VLOOKUP(D112,'[1]ANALISIS (NEW)'!C:AX,48,FALSE)</f>
        <v xml:space="preserve">FEDERAL-MOGUL POWERTRAIN- Qro </v>
      </c>
      <c r="G112" s="15" t="str">
        <f>VLOOKUP(D:D,'[1]ANALISIS (NEW)'!C:BY,75,FALSE)</f>
        <v>EA</v>
      </c>
      <c r="H112" s="18" t="str">
        <f>VLOOKUP(D112,'[1]ANALISIS (NEW)'!C:BF,49,FALSE)</f>
        <v xml:space="preserve">US </v>
      </c>
      <c r="I112" s="17">
        <f>VLOOKUP(D112,'[1]ANALISIS (NEW)'!C:BF,50,FALSE)</f>
        <v>9</v>
      </c>
      <c r="J112" s="16">
        <f>VLOOKUP(D112,'[1]ANALISIS (NEW)'!C:BG,57,FALSE)</f>
        <v>0.21719999999999998</v>
      </c>
      <c r="K112" s="15">
        <f>VLOOKUP(D112,'[1]ANALISIS (NEW)'!C:BF,56,FALSE)</f>
        <v>1</v>
      </c>
      <c r="L112" s="14">
        <v>0</v>
      </c>
      <c r="M112" s="14">
        <f>VLOOKUP(D112,'[1]Inv Sem 23 pzas '!A:F,2,FALSE)</f>
        <v>0</v>
      </c>
      <c r="N112" s="14">
        <f>VLOOKUP(D112,'[1]Inv Sem 23 pzas '!A:F,3,FALSE)</f>
        <v>1000</v>
      </c>
      <c r="O112" s="14">
        <f>VLOOKUP(D112,'[1]Inv Sem 23 pzas '!A:F,4,FALSE)</f>
        <v>24</v>
      </c>
      <c r="P112" s="14">
        <f>VLOOKUP(D112,'[1]Inv Sem 23 pzas '!A:F,5,FALSE)</f>
        <v>0</v>
      </c>
      <c r="Q112" s="14">
        <f>VLOOKUP(D112,'[1]Inv Sem 23 pzas '!A:F,6,FALSE)</f>
        <v>2000</v>
      </c>
      <c r="R112" s="13">
        <f t="shared" si="46"/>
        <v>3024</v>
      </c>
      <c r="S112" s="12">
        <f t="shared" si="47"/>
        <v>656.81279999999992</v>
      </c>
      <c r="T112" s="11">
        <f t="shared" si="48"/>
        <v>0</v>
      </c>
      <c r="U112" s="11">
        <f t="shared" si="49"/>
        <v>1000</v>
      </c>
      <c r="V112" s="11">
        <f t="shared" si="50"/>
        <v>24</v>
      </c>
      <c r="W112" s="11">
        <f t="shared" si="51"/>
        <v>0</v>
      </c>
      <c r="X112" s="11">
        <f t="shared" si="52"/>
        <v>2000</v>
      </c>
      <c r="Y112" s="11">
        <f t="shared" si="53"/>
        <v>0</v>
      </c>
      <c r="Z112" s="9">
        <f t="shared" si="54"/>
        <v>3024</v>
      </c>
      <c r="AA112" s="9">
        <f t="shared" si="55"/>
        <v>2.2857142857142856</v>
      </c>
      <c r="AB112" s="10">
        <f t="shared" si="56"/>
        <v>0.49645714285714276</v>
      </c>
      <c r="AC112" s="9">
        <f t="shared" si="57"/>
        <v>3021.7142857142858</v>
      </c>
      <c r="AD112" s="8">
        <f t="shared" si="58"/>
        <v>3021.7142857142858</v>
      </c>
      <c r="AE112" s="7">
        <f t="shared" si="59"/>
        <v>656.31634285714279</v>
      </c>
    </row>
    <row r="113" spans="1:31" x14ac:dyDescent="0.25">
      <c r="A113" s="22">
        <f t="shared" ca="1" si="45"/>
        <v>46182</v>
      </c>
      <c r="B113" s="21" t="s">
        <v>2</v>
      </c>
      <c r="C113" s="20" t="s">
        <v>1</v>
      </c>
      <c r="D113" s="4" t="s">
        <v>51</v>
      </c>
      <c r="E113" s="3" t="str">
        <f>VLOOKUP(D113,'[1]ANALISIS (NEW)'!C:E,3,FALSE)</f>
        <v>SHP'G/CAP-DSL/M 5/8 MALE  DSL CAP</v>
      </c>
      <c r="F113" s="19" t="str">
        <f>VLOOKUP(D113,'[1]ANALISIS (NEW)'!C:AX,48,FALSE)</f>
        <v>POLYMER MOLDING INC</v>
      </c>
      <c r="G113" s="15" t="str">
        <f>VLOOKUP(D:D,'[1]ANALISIS (NEW)'!C:BY,75,FALSE)</f>
        <v>EA</v>
      </c>
      <c r="H113" s="18" t="str">
        <f>VLOOKUP(D113,'[1]ANALISIS (NEW)'!C:BF,49,FALSE)</f>
        <v xml:space="preserve">US </v>
      </c>
      <c r="I113" s="17">
        <f>VLOOKUP(D113,'[1]ANALISIS (NEW)'!C:BF,50,FALSE)</f>
        <v>9</v>
      </c>
      <c r="J113" s="16">
        <f>VLOOKUP(D113,'[1]ANALISIS (NEW)'!C:BG,57,FALSE)</f>
        <v>3.0199999999999998E-2</v>
      </c>
      <c r="K113" s="15">
        <f>VLOOKUP(D113,'[1]ANALISIS (NEW)'!C:BF,56,FALSE)</f>
        <v>13688.363636363636</v>
      </c>
      <c r="L113" s="14">
        <v>0</v>
      </c>
      <c r="M113" s="14">
        <f>VLOOKUP(D113,'[1]Inv Sem 23 pzas '!A:F,2,FALSE)</f>
        <v>0</v>
      </c>
      <c r="N113" s="14">
        <f>VLOOKUP(D113,'[1]Inv Sem 23 pzas '!A:F,3,FALSE)</f>
        <v>9000</v>
      </c>
      <c r="O113" s="14">
        <f>VLOOKUP(D113,'[1]Inv Sem 23 pzas '!A:F,4,FALSE)</f>
        <v>-2267</v>
      </c>
      <c r="P113" s="14">
        <f>VLOOKUP(D113,'[1]Inv Sem 23 pzas '!A:F,5,FALSE)</f>
        <v>0</v>
      </c>
      <c r="Q113" s="14">
        <f>VLOOKUP(D113,'[1]Inv Sem 23 pzas '!A:F,6,FALSE)</f>
        <v>46000</v>
      </c>
      <c r="R113" s="13">
        <f t="shared" si="46"/>
        <v>52733</v>
      </c>
      <c r="S113" s="12">
        <f t="shared" si="47"/>
        <v>1592.5365999999999</v>
      </c>
      <c r="T113" s="11">
        <f t="shared" si="48"/>
        <v>0</v>
      </c>
      <c r="U113" s="11">
        <f t="shared" si="49"/>
        <v>0.65749276093828868</v>
      </c>
      <c r="V113" s="11">
        <f t="shared" si="50"/>
        <v>-0.16561512100523337</v>
      </c>
      <c r="W113" s="11">
        <f t="shared" si="51"/>
        <v>0</v>
      </c>
      <c r="X113" s="11">
        <f t="shared" si="52"/>
        <v>3.3605185559068089</v>
      </c>
      <c r="Y113" s="11">
        <f t="shared" si="53"/>
        <v>0</v>
      </c>
      <c r="Z113" s="9">
        <f t="shared" si="54"/>
        <v>3.852396195839864</v>
      </c>
      <c r="AA113" s="9">
        <f t="shared" si="55"/>
        <v>2.2857142857142856</v>
      </c>
      <c r="AB113" s="10">
        <f t="shared" si="56"/>
        <v>944.88818701298692</v>
      </c>
      <c r="AC113" s="9">
        <f t="shared" si="57"/>
        <v>1.5666819101255784</v>
      </c>
      <c r="AD113" s="8">
        <f t="shared" si="58"/>
        <v>21445.311688311689</v>
      </c>
      <c r="AE113" s="7">
        <f t="shared" si="59"/>
        <v>647.64841298701299</v>
      </c>
    </row>
    <row r="114" spans="1:31" x14ac:dyDescent="0.25">
      <c r="A114" s="22">
        <f t="shared" ca="1" si="45"/>
        <v>46182</v>
      </c>
      <c r="B114" s="21" t="s">
        <v>2</v>
      </c>
      <c r="C114" s="20" t="s">
        <v>1</v>
      </c>
      <c r="D114" s="4" t="s">
        <v>50</v>
      </c>
      <c r="E114" s="3" t="str">
        <f>VLOOKUP(D114,'[1]ANALISIS (NEW)'!C:E,3,FALSE)</f>
        <v>SLV HT ALU SELF WRAP SLV HT ALU SELF WRA</v>
      </c>
      <c r="F114" s="19" t="str">
        <f>VLOOKUP(D114,'[1]ANALISIS (NEW)'!C:AX,48,FALSE)</f>
        <v xml:space="preserve">FEDERAL-MOGUL POWERTRAIN- Qro </v>
      </c>
      <c r="G114" s="15" t="str">
        <f>VLOOKUP(D:D,'[1]ANALISIS (NEW)'!C:BY,75,FALSE)</f>
        <v>EA</v>
      </c>
      <c r="H114" s="18" t="str">
        <f>VLOOKUP(D114,'[1]ANALISIS (NEW)'!C:BF,49,FALSE)</f>
        <v xml:space="preserve">US </v>
      </c>
      <c r="I114" s="17">
        <f>VLOOKUP(D114,'[1]ANALISIS (NEW)'!C:BF,50,FALSE)</f>
        <v>9</v>
      </c>
      <c r="J114" s="16">
        <f>VLOOKUP(D114,'[1]ANALISIS (NEW)'!C:BG,57,FALSE)</f>
        <v>0.6593</v>
      </c>
      <c r="K114" s="15">
        <f>VLOOKUP(D114,'[1]ANALISIS (NEW)'!C:BF,56,FALSE)</f>
        <v>1121</v>
      </c>
      <c r="L114" s="14">
        <v>0</v>
      </c>
      <c r="M114" s="14">
        <f>VLOOKUP(D114,'[1]Inv Sem 23 pzas '!A:F,2,FALSE)</f>
        <v>0</v>
      </c>
      <c r="N114" s="14">
        <f>VLOOKUP(D114,'[1]Inv Sem 23 pzas '!A:F,3,FALSE)</f>
        <v>0</v>
      </c>
      <c r="O114" s="14">
        <f>VLOOKUP(D114,'[1]Inv Sem 23 pzas '!A:F,4,FALSE)</f>
        <v>713</v>
      </c>
      <c r="P114" s="14">
        <f>VLOOKUP(D114,'[1]Inv Sem 23 pzas '!A:F,5,FALSE)</f>
        <v>0</v>
      </c>
      <c r="Q114" s="14">
        <f>VLOOKUP(D114,'[1]Inv Sem 23 pzas '!A:F,6,FALSE)</f>
        <v>2750</v>
      </c>
      <c r="R114" s="13">
        <f t="shared" si="46"/>
        <v>3463</v>
      </c>
      <c r="S114" s="12">
        <f t="shared" si="47"/>
        <v>2283.1559000000002</v>
      </c>
      <c r="T114" s="11">
        <f t="shared" si="48"/>
        <v>0</v>
      </c>
      <c r="U114" s="11">
        <f t="shared" si="49"/>
        <v>0</v>
      </c>
      <c r="V114" s="11">
        <f t="shared" si="50"/>
        <v>0.63603925066904554</v>
      </c>
      <c r="W114" s="11">
        <f t="shared" si="51"/>
        <v>0</v>
      </c>
      <c r="X114" s="11">
        <f t="shared" si="52"/>
        <v>2.4531668153434434</v>
      </c>
      <c r="Y114" s="11">
        <f t="shared" si="53"/>
        <v>0</v>
      </c>
      <c r="Z114" s="9">
        <f t="shared" si="54"/>
        <v>3.0892060660124887</v>
      </c>
      <c r="AA114" s="9">
        <f t="shared" si="55"/>
        <v>2.2857142857142856</v>
      </c>
      <c r="AB114" s="10">
        <f t="shared" si="56"/>
        <v>1689.3149714285714</v>
      </c>
      <c r="AC114" s="9">
        <f t="shared" si="57"/>
        <v>0.80349178029820312</v>
      </c>
      <c r="AD114" s="8">
        <f t="shared" si="58"/>
        <v>900.71428571428567</v>
      </c>
      <c r="AE114" s="7">
        <f t="shared" si="59"/>
        <v>593.84092857142855</v>
      </c>
    </row>
    <row r="115" spans="1:31" x14ac:dyDescent="0.25">
      <c r="A115" s="22">
        <f t="shared" ca="1" si="45"/>
        <v>46182</v>
      </c>
      <c r="B115" s="21" t="s">
        <v>2</v>
      </c>
      <c r="C115" s="20" t="s">
        <v>1</v>
      </c>
      <c r="D115" s="4" t="s">
        <v>49</v>
      </c>
      <c r="E115" s="3" t="str">
        <f>VLOOKUP(D115,'[1]ANALISIS (NEW)'!C:E,3,FALSE)</f>
        <v>HOSE-A/C FORMED-BARRIER</v>
      </c>
      <c r="F115" s="19" t="str">
        <f>VLOOKUP(D115,'[1]ANALISIS (NEW)'!C:AX,48,FALSE)</f>
        <v>CONTITECH NORTH AMERICA,</v>
      </c>
      <c r="G115" s="15" t="str">
        <f>VLOOKUP(D:D,'[1]ANALISIS (NEW)'!C:BY,75,FALSE)</f>
        <v>EA</v>
      </c>
      <c r="H115" s="18" t="str">
        <f>VLOOKUP(D115,'[1]ANALISIS (NEW)'!C:BF,49,FALSE)</f>
        <v xml:space="preserve">US </v>
      </c>
      <c r="I115" s="17">
        <f>VLOOKUP(D115,'[1]ANALISIS (NEW)'!C:BF,50,FALSE)</f>
        <v>9</v>
      </c>
      <c r="J115" s="16">
        <f>VLOOKUP(D115,'[1]ANALISIS (NEW)'!C:BG,57,FALSE)</f>
        <v>2.5619999999999998</v>
      </c>
      <c r="K115" s="15">
        <f>VLOOKUP(D115,'[1]ANALISIS (NEW)'!C:BF,56,FALSE)</f>
        <v>159.27272727272728</v>
      </c>
      <c r="L115" s="14">
        <v>0</v>
      </c>
      <c r="M115" s="14">
        <f>VLOOKUP(D115,'[1]Inv Sem 23 pzas '!A:F,2,FALSE)</f>
        <v>0</v>
      </c>
      <c r="N115" s="14">
        <f>VLOOKUP(D115,'[1]Inv Sem 23 pzas '!A:F,3,FALSE)</f>
        <v>100</v>
      </c>
      <c r="O115" s="14">
        <f>VLOOKUP(D115,'[1]Inv Sem 23 pzas '!A:F,4,FALSE)</f>
        <v>93</v>
      </c>
      <c r="P115" s="14">
        <f>VLOOKUP(D115,'[1]Inv Sem 23 pzas '!A:F,5,FALSE)</f>
        <v>0</v>
      </c>
      <c r="Q115" s="14">
        <f>VLOOKUP(D115,'[1]Inv Sem 23 pzas '!A:F,6,FALSE)</f>
        <v>400</v>
      </c>
      <c r="R115" s="13">
        <f t="shared" si="46"/>
        <v>593</v>
      </c>
      <c r="S115" s="12">
        <f t="shared" si="47"/>
        <v>1519.2659999999998</v>
      </c>
      <c r="T115" s="11">
        <f t="shared" si="48"/>
        <v>0</v>
      </c>
      <c r="U115" s="11">
        <f t="shared" si="49"/>
        <v>0.62785388127853881</v>
      </c>
      <c r="V115" s="11">
        <f t="shared" si="50"/>
        <v>0.58390410958904104</v>
      </c>
      <c r="W115" s="11">
        <f t="shared" si="51"/>
        <v>0</v>
      </c>
      <c r="X115" s="11">
        <f t="shared" si="52"/>
        <v>2.5114155251141552</v>
      </c>
      <c r="Y115" s="11">
        <f t="shared" si="53"/>
        <v>0</v>
      </c>
      <c r="Z115" s="9">
        <f t="shared" si="54"/>
        <v>3.7231735159817352</v>
      </c>
      <c r="AA115" s="9">
        <f t="shared" si="55"/>
        <v>2.2857142857142856</v>
      </c>
      <c r="AB115" s="10">
        <f t="shared" si="56"/>
        <v>932.70109090909079</v>
      </c>
      <c r="AC115" s="9">
        <f t="shared" si="57"/>
        <v>1.4374592302674496</v>
      </c>
      <c r="AD115" s="8">
        <f t="shared" si="58"/>
        <v>228.94805194805198</v>
      </c>
      <c r="AE115" s="7">
        <f t="shared" si="59"/>
        <v>586.56490909090917</v>
      </c>
    </row>
    <row r="116" spans="1:31" x14ac:dyDescent="0.25">
      <c r="A116" s="22">
        <f t="shared" ca="1" si="45"/>
        <v>46182</v>
      </c>
      <c r="B116" s="21" t="s">
        <v>2</v>
      </c>
      <c r="C116" s="20" t="s">
        <v>1</v>
      </c>
      <c r="D116" s="4" t="s">
        <v>48</v>
      </c>
      <c r="E116" s="3" t="str">
        <f>VLOOKUP(D116,'[1]ANALISIS (NEW)'!C:E,3,FALSE)</f>
        <v>SLV HT ALU SELF WRAP SLV HT ALU SELF WRA</v>
      </c>
      <c r="F116" s="19" t="str">
        <f>VLOOKUP(D116,'[1]ANALISIS (NEW)'!C:AX,48,FALSE)</f>
        <v xml:space="preserve">FEDERAL-MOGUL POWERTRAIN- Qro </v>
      </c>
      <c r="G116" s="15" t="str">
        <f>VLOOKUP(D:D,'[1]ANALISIS (NEW)'!C:BY,75,FALSE)</f>
        <v>EA</v>
      </c>
      <c r="H116" s="18" t="str">
        <f>VLOOKUP(D116,'[1]ANALISIS (NEW)'!C:BF,49,FALSE)</f>
        <v xml:space="preserve">US </v>
      </c>
      <c r="I116" s="17">
        <f>VLOOKUP(D116,'[1]ANALISIS (NEW)'!C:BF,50,FALSE)</f>
        <v>9</v>
      </c>
      <c r="J116" s="16">
        <f>VLOOKUP(D116,'[1]ANALISIS (NEW)'!C:BG,57,FALSE)</f>
        <v>0.52229999999999999</v>
      </c>
      <c r="K116" s="15">
        <f>VLOOKUP(D116,'[1]ANALISIS (NEW)'!C:BF,56,FALSE)</f>
        <v>1120</v>
      </c>
      <c r="L116" s="14">
        <v>0</v>
      </c>
      <c r="M116" s="14">
        <f>VLOOKUP(D116,'[1]Inv Sem 23 pzas '!A:F,2,FALSE)</f>
        <v>0</v>
      </c>
      <c r="N116" s="14">
        <f>VLOOKUP(D116,'[1]Inv Sem 23 pzas '!A:F,3,FALSE)</f>
        <v>500</v>
      </c>
      <c r="O116" s="14">
        <f>VLOOKUP(D116,'[1]Inv Sem 23 pzas '!A:F,4,FALSE)</f>
        <v>-331</v>
      </c>
      <c r="P116" s="14">
        <f>VLOOKUP(D116,'[1]Inv Sem 23 pzas '!A:F,5,FALSE)</f>
        <v>0</v>
      </c>
      <c r="Q116" s="14">
        <f>VLOOKUP(D116,'[1]Inv Sem 23 pzas '!A:F,6,FALSE)</f>
        <v>3500</v>
      </c>
      <c r="R116" s="13">
        <f t="shared" si="46"/>
        <v>3669</v>
      </c>
      <c r="S116" s="12">
        <f t="shared" si="47"/>
        <v>1916.3187</v>
      </c>
      <c r="T116" s="11">
        <f t="shared" si="48"/>
        <v>0</v>
      </c>
      <c r="U116" s="11">
        <f t="shared" si="49"/>
        <v>0.44642857142857145</v>
      </c>
      <c r="V116" s="11">
        <f t="shared" si="50"/>
        <v>-0.29553571428571429</v>
      </c>
      <c r="W116" s="11">
        <f t="shared" si="51"/>
        <v>0</v>
      </c>
      <c r="X116" s="11">
        <f t="shared" si="52"/>
        <v>3.125</v>
      </c>
      <c r="Y116" s="11">
        <f t="shared" si="53"/>
        <v>0</v>
      </c>
      <c r="Z116" s="9">
        <f t="shared" si="54"/>
        <v>3.2758928571428569</v>
      </c>
      <c r="AA116" s="9">
        <f t="shared" si="55"/>
        <v>2.2857142857142856</v>
      </c>
      <c r="AB116" s="10">
        <f t="shared" si="56"/>
        <v>1337.088</v>
      </c>
      <c r="AC116" s="9">
        <f t="shared" si="57"/>
        <v>0.99017857142857135</v>
      </c>
      <c r="AD116" s="8">
        <f t="shared" si="58"/>
        <v>1109</v>
      </c>
      <c r="AE116" s="7">
        <f t="shared" si="59"/>
        <v>579.23069999999996</v>
      </c>
    </row>
    <row r="117" spans="1:31" x14ac:dyDescent="0.25">
      <c r="A117" s="22">
        <f t="shared" ca="1" si="45"/>
        <v>46182</v>
      </c>
      <c r="B117" s="21" t="s">
        <v>2</v>
      </c>
      <c r="C117" s="20" t="s">
        <v>1</v>
      </c>
      <c r="D117" s="4" t="s">
        <v>47</v>
      </c>
      <c r="E117" s="3" t="str">
        <f>VLOOKUP(D117,'[1]ANALISIS (NEW)'!C:E,3,FALSE)</f>
        <v>SHIP.CAP /BULK/ 5/8INCH MALE MSF</v>
      </c>
      <c r="F117" s="19" t="str">
        <f>VLOOKUP(D117,'[1]ANALISIS (NEW)'!C:AX,48,FALSE)</f>
        <v>POLYMER MOLDING INC</v>
      </c>
      <c r="G117" s="15" t="str">
        <f>VLOOKUP(D:D,'[1]ANALISIS (NEW)'!C:BY,75,FALSE)</f>
        <v>EA</v>
      </c>
      <c r="H117" s="18" t="str">
        <f>VLOOKUP(D117,'[1]ANALISIS (NEW)'!C:BF,49,FALSE)</f>
        <v xml:space="preserve">US </v>
      </c>
      <c r="I117" s="17">
        <f>VLOOKUP(D117,'[1]ANALISIS (NEW)'!C:BF,50,FALSE)</f>
        <v>9</v>
      </c>
      <c r="J117" s="16">
        <f>VLOOKUP(D117,'[1]ANALISIS (NEW)'!C:BG,57,FALSE)</f>
        <v>1.09E-2</v>
      </c>
      <c r="K117" s="15">
        <f>VLOOKUP(D117,'[1]ANALISIS (NEW)'!C:BF,56,FALSE)</f>
        <v>27168.727272727272</v>
      </c>
      <c r="L117" s="14">
        <v>0</v>
      </c>
      <c r="M117" s="14">
        <f>VLOOKUP(D117,'[1]Inv Sem 23 pzas '!A:F,2,FALSE)</f>
        <v>0</v>
      </c>
      <c r="N117" s="14">
        <f>VLOOKUP(D117,'[1]Inv Sem 23 pzas '!A:F,3,FALSE)</f>
        <v>0</v>
      </c>
      <c r="O117" s="14">
        <f>VLOOKUP(D117,'[1]Inv Sem 23 pzas '!A:F,4,FALSE)</f>
        <v>-4492</v>
      </c>
      <c r="P117" s="14">
        <f>VLOOKUP(D117,'[1]Inv Sem 23 pzas '!A:F,5,FALSE)</f>
        <v>0</v>
      </c>
      <c r="Q117" s="14">
        <f>VLOOKUP(D117,'[1]Inv Sem 23 pzas '!A:F,6,FALSE)</f>
        <v>118000</v>
      </c>
      <c r="R117" s="13">
        <f t="shared" si="46"/>
        <v>113508</v>
      </c>
      <c r="S117" s="12">
        <f t="shared" si="47"/>
        <v>1237.2372</v>
      </c>
      <c r="T117" s="11">
        <f t="shared" si="48"/>
        <v>0</v>
      </c>
      <c r="U117" s="11">
        <f t="shared" si="49"/>
        <v>0</v>
      </c>
      <c r="V117" s="11">
        <f t="shared" si="50"/>
        <v>-0.16533715234092675</v>
      </c>
      <c r="W117" s="11">
        <f t="shared" si="51"/>
        <v>0</v>
      </c>
      <c r="X117" s="11">
        <f t="shared" si="52"/>
        <v>4.3432288459994108</v>
      </c>
      <c r="Y117" s="11">
        <f t="shared" si="53"/>
        <v>0</v>
      </c>
      <c r="Z117" s="9">
        <f t="shared" si="54"/>
        <v>4.1778916936584842</v>
      </c>
      <c r="AA117" s="9">
        <f t="shared" si="55"/>
        <v>2.2857142857142856</v>
      </c>
      <c r="AB117" s="10">
        <f t="shared" si="56"/>
        <v>676.88943376623376</v>
      </c>
      <c r="AC117" s="9">
        <f t="shared" si="57"/>
        <v>1.8921774079441986</v>
      </c>
      <c r="AD117" s="8">
        <f t="shared" si="58"/>
        <v>51408.051948051943</v>
      </c>
      <c r="AE117" s="7">
        <f t="shared" si="59"/>
        <v>560.34776623376615</v>
      </c>
    </row>
    <row r="118" spans="1:31" x14ac:dyDescent="0.25">
      <c r="A118" s="22">
        <f t="shared" ca="1" si="45"/>
        <v>46182</v>
      </c>
      <c r="B118" s="21" t="s">
        <v>2</v>
      </c>
      <c r="C118" s="20" t="s">
        <v>1</v>
      </c>
      <c r="D118" s="4" t="s">
        <v>46</v>
      </c>
      <c r="E118" s="3" t="str">
        <f>VLOOKUP(D118,'[1]ANALISIS (NEW)'!C:E,3,FALSE)</f>
        <v>3/4in CONVOLUTED SLV TUB EPROTECTOR</v>
      </c>
      <c r="F118" s="19" t="str">
        <f>VLOOKUP(D118,'[1]ANALISIS (NEW)'!C:AX,48,FALSE)</f>
        <v>DELFINGEN US INC</v>
      </c>
      <c r="G118" s="15" t="str">
        <f>VLOOKUP(D:D,'[1]ANALISIS (NEW)'!C:BY,75,FALSE)</f>
        <v>MM</v>
      </c>
      <c r="H118" s="18" t="str">
        <f>VLOOKUP(D118,'[1]ANALISIS (NEW)'!C:BF,49,FALSE)</f>
        <v xml:space="preserve">US </v>
      </c>
      <c r="I118" s="17">
        <f>VLOOKUP(D118,'[1]ANALISIS (NEW)'!C:BF,50,FALSE)</f>
        <v>9</v>
      </c>
      <c r="J118" s="16">
        <f>VLOOKUP(D118,'[1]ANALISIS (NEW)'!C:BG,57,FALSE)*1000</f>
        <v>0.39</v>
      </c>
      <c r="K118" s="15">
        <f>VLOOKUP(D118,'[1]ANALISIS (NEW)'!C:BF,56,FALSE)</f>
        <v>458.46681818181821</v>
      </c>
      <c r="L118" s="14">
        <v>0</v>
      </c>
      <c r="M118" s="14">
        <f>VLOOKUP(D118,'[1]Inv Sem 23 pzas '!A:F,2,FALSE)/1000</f>
        <v>0</v>
      </c>
      <c r="N118" s="14">
        <f>VLOOKUP(D118,'[1]Inv Sem 23 pzas '!A:F,3,FALSE)/1000</f>
        <v>0</v>
      </c>
      <c r="O118" s="14">
        <f>VLOOKUP(D118,'[1]Inv Sem 23 pzas '!A:F,4,FALSE)/1000</f>
        <v>1226.365</v>
      </c>
      <c r="P118" s="14">
        <f>VLOOKUP(D118,'[1]Inv Sem 23 pzas '!A:F,5,FALSE)</f>
        <v>0</v>
      </c>
      <c r="Q118" s="14">
        <f>VLOOKUP(D118,'[1]Inv Sem 23 pzas '!A:F,6,FALSE)/1000</f>
        <v>1220</v>
      </c>
      <c r="R118" s="13">
        <f t="shared" si="46"/>
        <v>2446.3649999999998</v>
      </c>
      <c r="S118" s="12">
        <f t="shared" si="47"/>
        <v>954.08234999999991</v>
      </c>
      <c r="T118" s="11">
        <f t="shared" si="48"/>
        <v>0</v>
      </c>
      <c r="U118" s="11">
        <f t="shared" si="49"/>
        <v>0</v>
      </c>
      <c r="V118" s="11">
        <f t="shared" si="50"/>
        <v>2.6749264098621195</v>
      </c>
      <c r="W118" s="11">
        <f t="shared" si="51"/>
        <v>0</v>
      </c>
      <c r="X118" s="11">
        <f t="shared" si="52"/>
        <v>2.6610431804819816</v>
      </c>
      <c r="Y118" s="11">
        <f t="shared" si="53"/>
        <v>0</v>
      </c>
      <c r="Z118" s="9">
        <f t="shared" si="54"/>
        <v>5.3359695903441011</v>
      </c>
      <c r="AA118" s="9">
        <f t="shared" si="55"/>
        <v>2.2857142857142856</v>
      </c>
      <c r="AB118" s="10">
        <f t="shared" si="56"/>
        <v>408.6904207792208</v>
      </c>
      <c r="AC118" s="9">
        <f t="shared" si="57"/>
        <v>3.0502553046298155</v>
      </c>
      <c r="AD118" s="8">
        <f t="shared" si="58"/>
        <v>1398.4408441558442</v>
      </c>
      <c r="AE118" s="7">
        <f t="shared" si="59"/>
        <v>545.39192922077928</v>
      </c>
    </row>
    <row r="119" spans="1:31" x14ac:dyDescent="0.25">
      <c r="A119" s="22">
        <f t="shared" ca="1" si="45"/>
        <v>46182</v>
      </c>
      <c r="B119" s="21" t="s">
        <v>2</v>
      </c>
      <c r="C119" s="20" t="s">
        <v>1</v>
      </c>
      <c r="D119" s="4" t="s">
        <v>45</v>
      </c>
      <c r="E119" s="3" t="str">
        <f>VLOOKUP(D119,'[1]ANALISIS (NEW)'!C:E,3,FALSE)</f>
        <v>SLV NVH RUBBER NON SLT D31_T7_L0270</v>
      </c>
      <c r="F119" s="19" t="str">
        <f>VLOOKUP(D119,'[1]ANALISIS (NEW)'!C:AX,48,FALSE)</f>
        <v>COLONIAL DPP LLC</v>
      </c>
      <c r="G119" s="15" t="str">
        <f>VLOOKUP(D:D,'[1]ANALISIS (NEW)'!C:BY,75,FALSE)</f>
        <v>EA</v>
      </c>
      <c r="H119" s="18" t="str">
        <f>VLOOKUP(D119,'[1]ANALISIS (NEW)'!C:BF,49,FALSE)</f>
        <v xml:space="preserve">US </v>
      </c>
      <c r="I119" s="17">
        <f>VLOOKUP(D119,'[1]ANALISIS (NEW)'!C:BF,50,FALSE)</f>
        <v>9</v>
      </c>
      <c r="J119" s="16">
        <f>VLOOKUP(D119,'[1]ANALISIS (NEW)'!C:BG,57,FALSE)</f>
        <v>1.2190000000000001</v>
      </c>
      <c r="K119" s="15">
        <f>VLOOKUP(D119,'[1]ANALISIS (NEW)'!C:BF,56,FALSE)</f>
        <v>6.5454545454545459</v>
      </c>
      <c r="L119" s="14">
        <v>0</v>
      </c>
      <c r="M119" s="14">
        <f>VLOOKUP(D119,'[1]Inv Sem 23 pzas '!A:F,2,FALSE)</f>
        <v>0</v>
      </c>
      <c r="N119" s="14">
        <f>VLOOKUP(D119,'[1]Inv Sem 23 pzas '!A:F,3,FALSE)</f>
        <v>0</v>
      </c>
      <c r="O119" s="14">
        <f>VLOOKUP(D119,'[1]Inv Sem 23 pzas '!A:F,4,FALSE)</f>
        <v>-20</v>
      </c>
      <c r="P119" s="14">
        <f>VLOOKUP(D119,'[1]Inv Sem 23 pzas '!A:F,5,FALSE)</f>
        <v>0</v>
      </c>
      <c r="Q119" s="14">
        <f>VLOOKUP(D119,'[1]Inv Sem 23 pzas '!A:F,6,FALSE)</f>
        <v>450</v>
      </c>
      <c r="R119" s="13">
        <f t="shared" si="46"/>
        <v>430</v>
      </c>
      <c r="S119" s="12">
        <f t="shared" si="47"/>
        <v>524.17000000000007</v>
      </c>
      <c r="T119" s="11">
        <f t="shared" si="48"/>
        <v>0</v>
      </c>
      <c r="U119" s="11">
        <f t="shared" si="49"/>
        <v>0</v>
      </c>
      <c r="V119" s="11">
        <f t="shared" si="50"/>
        <v>-3.0555555555555554</v>
      </c>
      <c r="W119" s="11">
        <f t="shared" si="51"/>
        <v>0</v>
      </c>
      <c r="X119" s="11">
        <f t="shared" si="52"/>
        <v>68.75</v>
      </c>
      <c r="Y119" s="11">
        <f t="shared" si="53"/>
        <v>0</v>
      </c>
      <c r="Z119" s="9">
        <f t="shared" si="54"/>
        <v>65.694444444444443</v>
      </c>
      <c r="AA119" s="9">
        <f t="shared" si="55"/>
        <v>2.2857142857142856</v>
      </c>
      <c r="AB119" s="10">
        <f t="shared" si="56"/>
        <v>18.237506493506494</v>
      </c>
      <c r="AC119" s="9">
        <f t="shared" si="57"/>
        <v>63.408730158730158</v>
      </c>
      <c r="AD119" s="8">
        <f t="shared" si="58"/>
        <v>415.03896103896108</v>
      </c>
      <c r="AE119" s="7">
        <f t="shared" si="59"/>
        <v>505.93249350649359</v>
      </c>
    </row>
    <row r="120" spans="1:31" x14ac:dyDescent="0.25">
      <c r="A120" s="22">
        <f t="shared" ca="1" si="45"/>
        <v>46182</v>
      </c>
      <c r="B120" s="21" t="s">
        <v>2</v>
      </c>
      <c r="C120" s="20" t="s">
        <v>1</v>
      </c>
      <c r="D120" s="4" t="s">
        <v>44</v>
      </c>
      <c r="E120" s="3" t="str">
        <f>VLOOKUP(D120,'[1]ANALISIS (NEW)'!C:E,3,FALSE)</f>
        <v>CLP-HTR TUB RET</v>
      </c>
      <c r="F120" s="19" t="str">
        <f>VLOOKUP(D120,'[1]ANALISIS (NEW)'!C:AX,48,FALSE)</f>
        <v>HELLERMANN TYTON CORPORA</v>
      </c>
      <c r="G120" s="15" t="str">
        <f>VLOOKUP(D:D,'[1]ANALISIS (NEW)'!C:BY,75,FALSE)</f>
        <v>EA</v>
      </c>
      <c r="H120" s="18" t="str">
        <f>VLOOKUP(D120,'[1]ANALISIS (NEW)'!C:BF,49,FALSE)</f>
        <v xml:space="preserve">US </v>
      </c>
      <c r="I120" s="17">
        <f>VLOOKUP(D120,'[1]ANALISIS (NEW)'!C:BF,50,FALSE)</f>
        <v>9</v>
      </c>
      <c r="J120" s="16">
        <f>VLOOKUP(D120,'[1]ANALISIS (NEW)'!C:BG,57,FALSE)</f>
        <v>0.30060000000000003</v>
      </c>
      <c r="K120" s="15">
        <f>VLOOKUP(D120,'[1]ANALISIS (NEW)'!C:BF,56,FALSE)</f>
        <v>142.36363636363637</v>
      </c>
      <c r="L120" s="14">
        <v>0</v>
      </c>
      <c r="M120" s="14">
        <f>VLOOKUP(D120,'[1]Inv Sem 23 pzas '!A:F,2,FALSE)</f>
        <v>0</v>
      </c>
      <c r="N120" s="14">
        <f>VLOOKUP(D120,'[1]Inv Sem 23 pzas '!A:F,3,FALSE)</f>
        <v>500</v>
      </c>
      <c r="O120" s="14">
        <f>VLOOKUP(D120,'[1]Inv Sem 23 pzas '!A:F,4,FALSE)</f>
        <v>716</v>
      </c>
      <c r="P120" s="14">
        <f>VLOOKUP(D120,'[1]Inv Sem 23 pzas '!A:F,5,FALSE)</f>
        <v>0</v>
      </c>
      <c r="Q120" s="14">
        <f>VLOOKUP(D120,'[1]Inv Sem 23 pzas '!A:F,6,FALSE)</f>
        <v>750</v>
      </c>
      <c r="R120" s="13">
        <f t="shared" si="46"/>
        <v>1966</v>
      </c>
      <c r="S120" s="12">
        <f t="shared" si="47"/>
        <v>590.97960000000012</v>
      </c>
      <c r="T120" s="11">
        <f t="shared" si="48"/>
        <v>0</v>
      </c>
      <c r="U120" s="11">
        <f t="shared" si="49"/>
        <v>3.5121328224776498</v>
      </c>
      <c r="V120" s="11">
        <f t="shared" si="50"/>
        <v>5.0293742017879941</v>
      </c>
      <c r="W120" s="11">
        <f t="shared" si="51"/>
        <v>0</v>
      </c>
      <c r="X120" s="11">
        <f t="shared" si="52"/>
        <v>5.2681992337164747</v>
      </c>
      <c r="Y120" s="11">
        <f>IFERROR(L120/K120,0)</f>
        <v>0</v>
      </c>
      <c r="Z120" s="9">
        <f t="shared" si="54"/>
        <v>13.809706257982119</v>
      </c>
      <c r="AA120" s="9">
        <f t="shared" si="55"/>
        <v>2.2857142857142856</v>
      </c>
      <c r="AB120" s="10">
        <f t="shared" si="56"/>
        <v>97.816020779220793</v>
      </c>
      <c r="AC120" s="9">
        <f t="shared" si="57"/>
        <v>11.523991972267833</v>
      </c>
      <c r="AD120" s="8">
        <f t="shared" si="58"/>
        <v>1640.5974025974026</v>
      </c>
      <c r="AE120" s="7">
        <f t="shared" si="59"/>
        <v>493.1635792207793</v>
      </c>
    </row>
    <row r="121" spans="1:31" x14ac:dyDescent="0.25">
      <c r="A121" s="22">
        <f t="shared" ca="1" si="45"/>
        <v>46182</v>
      </c>
      <c r="B121" s="21" t="s">
        <v>2</v>
      </c>
      <c r="C121" s="20" t="s">
        <v>1</v>
      </c>
      <c r="D121" s="4" t="s">
        <v>43</v>
      </c>
      <c r="E121" s="3" t="str">
        <f>VLOOKUP(D121,'[1]ANALISIS (NEW)'!C:E,3,FALSE)</f>
        <v>SLV HT SLIT REFLECT TUBE D13_T1.91_L0210</v>
      </c>
      <c r="F121" s="19" t="str">
        <f>VLOOKUP(D121,'[1]ANALISIS (NEW)'!C:AX,48,FALSE)</f>
        <v>FEDERAL-MOGUL POWERTRAIN</v>
      </c>
      <c r="G121" s="15" t="str">
        <f>VLOOKUP(D:D,'[1]ANALISIS (NEW)'!C:BY,75,FALSE)</f>
        <v>EA</v>
      </c>
      <c r="H121" s="18" t="str">
        <f>VLOOKUP(D121,'[1]ANALISIS (NEW)'!C:BF,49,FALSE)</f>
        <v xml:space="preserve">US </v>
      </c>
      <c r="I121" s="17">
        <f>VLOOKUP(D121,'[1]ANALISIS (NEW)'!C:BF,50,FALSE)</f>
        <v>9</v>
      </c>
      <c r="J121" s="16">
        <f>VLOOKUP(D121,'[1]ANALISIS (NEW)'!C:BG,57,FALSE)</f>
        <v>0.85010000000000008</v>
      </c>
      <c r="K121" s="15">
        <f>VLOOKUP(D121,'[1]ANALISIS (NEW)'!C:BF,56,FALSE)</f>
        <v>1252.909090909091</v>
      </c>
      <c r="L121" s="14">
        <v>0</v>
      </c>
      <c r="M121" s="14">
        <f>VLOOKUP(D121,'[1]Inv Sem 23 pzas '!A:F,2,FALSE)</f>
        <v>0</v>
      </c>
      <c r="N121" s="14">
        <f>VLOOKUP(D121,'[1]Inv Sem 23 pzas '!A:F,3,FALSE)</f>
        <v>0</v>
      </c>
      <c r="O121" s="14">
        <f>VLOOKUP(D121,'[1]Inv Sem 23 pzas '!A:F,4,FALSE)</f>
        <v>-93</v>
      </c>
      <c r="P121" s="14">
        <f>VLOOKUP(D121,'[1]Inv Sem 23 pzas '!A:F,5,FALSE)</f>
        <v>0</v>
      </c>
      <c r="Q121" s="14">
        <f>VLOOKUP(D121,'[1]Inv Sem 23 pzas '!A:F,6,FALSE)</f>
        <v>3500</v>
      </c>
      <c r="R121" s="13">
        <f t="shared" si="46"/>
        <v>3407</v>
      </c>
      <c r="S121" s="12">
        <f t="shared" si="47"/>
        <v>2896.2907000000005</v>
      </c>
      <c r="T121" s="11">
        <f t="shared" si="48"/>
        <v>0</v>
      </c>
      <c r="U121" s="11">
        <f t="shared" si="49"/>
        <v>0</v>
      </c>
      <c r="V121" s="11">
        <f t="shared" si="50"/>
        <v>-7.4227252938615582E-2</v>
      </c>
      <c r="W121" s="11">
        <f t="shared" si="51"/>
        <v>0</v>
      </c>
      <c r="X121" s="11">
        <f t="shared" si="52"/>
        <v>2.7934987665070379</v>
      </c>
      <c r="Y121" s="11">
        <f t="shared" ref="Y121:Y134" si="60">L121/K121</f>
        <v>0</v>
      </c>
      <c r="Z121" s="9">
        <f t="shared" si="54"/>
        <v>2.7192715135684224</v>
      </c>
      <c r="AA121" s="9">
        <f t="shared" si="55"/>
        <v>2.2857142857142856</v>
      </c>
      <c r="AB121" s="10">
        <f t="shared" si="56"/>
        <v>2434.5097558441562</v>
      </c>
      <c r="AC121" s="9">
        <f t="shared" si="57"/>
        <v>0.43355722785413686</v>
      </c>
      <c r="AD121" s="8">
        <f t="shared" si="58"/>
        <v>543.20779220779229</v>
      </c>
      <c r="AE121" s="7">
        <f t="shared" si="59"/>
        <v>461.78094415584428</v>
      </c>
    </row>
    <row r="122" spans="1:31" x14ac:dyDescent="0.25">
      <c r="A122" s="22">
        <f t="shared" ca="1" si="45"/>
        <v>46182</v>
      </c>
      <c r="B122" s="21" t="s">
        <v>2</v>
      </c>
      <c r="C122" s="20" t="s">
        <v>1</v>
      </c>
      <c r="D122" s="4" t="s">
        <v>42</v>
      </c>
      <c r="E122" s="3" t="str">
        <f>VLOOKUP(D122,'[1]ANALISIS (NEW)'!C:E,3,FALSE)</f>
        <v>SHP'G/CAP-DSL/M 1/2" MALE DSL CAP</v>
      </c>
      <c r="F122" s="19" t="str">
        <f>VLOOKUP(D122,'[1]ANALISIS (NEW)'!C:AX,48,FALSE)</f>
        <v>POLYMER MOLDING INC</v>
      </c>
      <c r="G122" s="15" t="str">
        <f>VLOOKUP(D:D,'[1]ANALISIS (NEW)'!C:BY,75,FALSE)</f>
        <v>EA</v>
      </c>
      <c r="H122" s="18" t="str">
        <f>VLOOKUP(D122,'[1]ANALISIS (NEW)'!C:BF,49,FALSE)</f>
        <v xml:space="preserve">US </v>
      </c>
      <c r="I122" s="17">
        <f>VLOOKUP(D122,'[1]ANALISIS (NEW)'!C:BF,50,FALSE)</f>
        <v>9</v>
      </c>
      <c r="J122" s="16">
        <f>VLOOKUP(D122,'[1]ANALISIS (NEW)'!C:BG,57,FALSE)</f>
        <v>2.8300000000000002E-2</v>
      </c>
      <c r="K122" s="15">
        <f>VLOOKUP(D122,'[1]ANALISIS (NEW)'!C:BF,56,FALSE)</f>
        <v>1642.8181818181818</v>
      </c>
      <c r="L122" s="14">
        <v>0</v>
      </c>
      <c r="M122" s="14">
        <f>VLOOKUP(D122,'[1]Inv Sem 23 pzas '!A:F,2,FALSE)</f>
        <v>0</v>
      </c>
      <c r="N122" s="14">
        <f>VLOOKUP(D122,'[1]Inv Sem 23 pzas '!A:F,3,FALSE)</f>
        <v>6000</v>
      </c>
      <c r="O122" s="14">
        <f>VLOOKUP(D122,'[1]Inv Sem 23 pzas '!A:F,4,FALSE)</f>
        <v>9988</v>
      </c>
      <c r="P122" s="14">
        <f>VLOOKUP(D122,'[1]Inv Sem 23 pzas '!A:F,5,FALSE)</f>
        <v>0</v>
      </c>
      <c r="Q122" s="14">
        <f>VLOOKUP(D122,'[1]Inv Sem 23 pzas '!A:F,6,FALSE)</f>
        <v>3944</v>
      </c>
      <c r="R122" s="13">
        <f t="shared" si="46"/>
        <v>19932</v>
      </c>
      <c r="S122" s="12">
        <f t="shared" si="47"/>
        <v>564.07560000000001</v>
      </c>
      <c r="T122" s="11">
        <f t="shared" si="48"/>
        <v>0</v>
      </c>
      <c r="U122" s="11">
        <f t="shared" si="49"/>
        <v>3.6522605279176581</v>
      </c>
      <c r="V122" s="11">
        <f t="shared" si="50"/>
        <v>6.0797963588069281</v>
      </c>
      <c r="W122" s="11">
        <f t="shared" si="51"/>
        <v>0</v>
      </c>
      <c r="X122" s="11">
        <f t="shared" si="52"/>
        <v>2.4007525870178741</v>
      </c>
      <c r="Y122" s="11">
        <f t="shared" si="60"/>
        <v>0</v>
      </c>
      <c r="Z122" s="9">
        <f t="shared" si="54"/>
        <v>12.132809473742459</v>
      </c>
      <c r="AA122" s="9">
        <f t="shared" si="55"/>
        <v>2.2857142857142856</v>
      </c>
      <c r="AB122" s="10">
        <f t="shared" si="56"/>
        <v>106.26686753246753</v>
      </c>
      <c r="AC122" s="9">
        <f t="shared" si="57"/>
        <v>9.8470951880281739</v>
      </c>
      <c r="AD122" s="8">
        <f t="shared" si="58"/>
        <v>16176.987012987011</v>
      </c>
      <c r="AE122" s="7">
        <f t="shared" si="59"/>
        <v>457.80873246753242</v>
      </c>
    </row>
    <row r="123" spans="1:31" x14ac:dyDescent="0.25">
      <c r="A123" s="22">
        <f t="shared" ca="1" si="45"/>
        <v>46182</v>
      </c>
      <c r="B123" s="21" t="s">
        <v>2</v>
      </c>
      <c r="C123" s="20" t="s">
        <v>1</v>
      </c>
      <c r="D123" s="4" t="s">
        <v>41</v>
      </c>
      <c r="E123" s="3" t="str">
        <f>VLOOKUP(D123,'[1]ANALISIS (NEW)'!C:E,3,FALSE)</f>
        <v>Gasket - A/C Line Sealin g</v>
      </c>
      <c r="F123" s="19" t="str">
        <f>VLOOKUP(D123,'[1]ANALISIS (NEW)'!C:AX,48,FALSE)</f>
        <v>PARKER HANNIFIN CORPORAT</v>
      </c>
      <c r="G123" s="15" t="str">
        <f>VLOOKUP(D:D,'[1]ANALISIS (NEW)'!C:BY,75,FALSE)</f>
        <v>EA</v>
      </c>
      <c r="H123" s="18" t="str">
        <f>VLOOKUP(D123,'[1]ANALISIS (NEW)'!C:BF,49,FALSE)</f>
        <v xml:space="preserve">US </v>
      </c>
      <c r="I123" s="17">
        <f>VLOOKUP(D123,'[1]ANALISIS (NEW)'!C:BF,50,FALSE)</f>
        <v>9</v>
      </c>
      <c r="J123" s="16">
        <f>VLOOKUP(D123,'[1]ANALISIS (NEW)'!C:BG,57,FALSE)</f>
        <v>0.18480000000000002</v>
      </c>
      <c r="K123" s="15">
        <f>VLOOKUP(D123,'[1]ANALISIS (NEW)'!C:BF,56,FALSE)</f>
        <v>1666.8181818181818</v>
      </c>
      <c r="L123" s="14">
        <v>0</v>
      </c>
      <c r="M123" s="14">
        <f>VLOOKUP(D123,'[1]Inv Sem 23 pzas '!A:F,2,FALSE)</f>
        <v>0</v>
      </c>
      <c r="N123" s="14">
        <f>VLOOKUP(D123,'[1]Inv Sem 23 pzas '!A:F,3,FALSE)</f>
        <v>0</v>
      </c>
      <c r="O123" s="14">
        <f>VLOOKUP(D123,'[1]Inv Sem 23 pzas '!A:F,4,FALSE)</f>
        <v>-1264</v>
      </c>
      <c r="P123" s="14">
        <f>VLOOKUP(D123,'[1]Inv Sem 23 pzas '!A:F,5,FALSE)</f>
        <v>0</v>
      </c>
      <c r="Q123" s="14">
        <f>VLOOKUP(D123,'[1]Inv Sem 23 pzas '!A:F,6,FALSE)</f>
        <v>7500</v>
      </c>
      <c r="R123" s="13">
        <f t="shared" si="46"/>
        <v>6236</v>
      </c>
      <c r="S123" s="12">
        <f t="shared" si="47"/>
        <v>1152.4128000000001</v>
      </c>
      <c r="T123" s="11">
        <f t="shared" si="48"/>
        <v>0</v>
      </c>
      <c r="U123" s="11">
        <f t="shared" si="49"/>
        <v>0</v>
      </c>
      <c r="V123" s="11">
        <f t="shared" si="50"/>
        <v>-0.75833106081265345</v>
      </c>
      <c r="W123" s="11">
        <f t="shared" si="51"/>
        <v>0</v>
      </c>
      <c r="X123" s="11">
        <f t="shared" si="52"/>
        <v>4.4995909462776114</v>
      </c>
      <c r="Y123" s="11">
        <f t="shared" si="60"/>
        <v>0</v>
      </c>
      <c r="Z123" s="9">
        <f t="shared" si="54"/>
        <v>3.7412598854649577</v>
      </c>
      <c r="AA123" s="9">
        <f t="shared" si="55"/>
        <v>2.2857142857142856</v>
      </c>
      <c r="AB123" s="10">
        <f t="shared" si="56"/>
        <v>704.06399999999996</v>
      </c>
      <c r="AC123" s="9">
        <f t="shared" si="57"/>
        <v>1.4555455997506721</v>
      </c>
      <c r="AD123" s="8">
        <f t="shared" si="58"/>
        <v>2426.1298701298701</v>
      </c>
      <c r="AE123" s="7">
        <f t="shared" si="59"/>
        <v>448.34880000000004</v>
      </c>
    </row>
    <row r="124" spans="1:31" x14ac:dyDescent="0.25">
      <c r="A124" s="22">
        <f t="shared" ca="1" si="45"/>
        <v>46182</v>
      </c>
      <c r="B124" s="21" t="s">
        <v>2</v>
      </c>
      <c r="C124" s="20" t="s">
        <v>1</v>
      </c>
      <c r="D124" s="4" t="s">
        <v>40</v>
      </c>
      <c r="E124" s="3" t="str">
        <f>VLOOKUP(D124,'[1]ANALISIS (NEW)'!C:E,3,FALSE)</f>
        <v>SHIPPING CAP / BULK / 8M M MALE MSF</v>
      </c>
      <c r="F124" s="19" t="str">
        <f>VLOOKUP(D124,'[1]ANALISIS (NEW)'!C:AX,48,FALSE)</f>
        <v>POLYMER MOLDING INC</v>
      </c>
      <c r="G124" s="15" t="str">
        <f>VLOOKUP(D:D,'[1]ANALISIS (NEW)'!C:BY,75,FALSE)</f>
        <v>EA</v>
      </c>
      <c r="H124" s="18" t="str">
        <f>VLOOKUP(D124,'[1]ANALISIS (NEW)'!C:BF,49,FALSE)</f>
        <v xml:space="preserve">US </v>
      </c>
      <c r="I124" s="17">
        <f>VLOOKUP(D124,'[1]ANALISIS (NEW)'!C:BF,50,FALSE)</f>
        <v>9</v>
      </c>
      <c r="J124" s="16">
        <f>VLOOKUP(D124,'[1]ANALISIS (NEW)'!C:BG,57,FALSE)</f>
        <v>8.0999999999999996E-3</v>
      </c>
      <c r="K124" s="15">
        <f>VLOOKUP(D124,'[1]ANALISIS (NEW)'!C:BF,56,FALSE)</f>
        <v>10014.454545454546</v>
      </c>
      <c r="L124" s="14">
        <v>0</v>
      </c>
      <c r="M124" s="14">
        <f>VLOOKUP(D124,'[1]Inv Sem 23 pzas '!A:F,2,FALSE)</f>
        <v>0</v>
      </c>
      <c r="N124" s="14">
        <f>VLOOKUP(D124,'[1]Inv Sem 23 pzas '!A:F,3,FALSE)</f>
        <v>0</v>
      </c>
      <c r="O124" s="14">
        <f>VLOOKUP(D124,'[1]Inv Sem 23 pzas '!A:F,4,FALSE)</f>
        <v>35773</v>
      </c>
      <c r="P124" s="14">
        <f>VLOOKUP(D124,'[1]Inv Sem 23 pzas '!A:F,5,FALSE)</f>
        <v>0</v>
      </c>
      <c r="Q124" s="14">
        <f>VLOOKUP(D124,'[1]Inv Sem 23 pzas '!A:F,6,FALSE)</f>
        <v>40000</v>
      </c>
      <c r="R124" s="13">
        <f t="shared" si="46"/>
        <v>75773</v>
      </c>
      <c r="S124" s="12">
        <f t="shared" si="47"/>
        <v>613.76130000000001</v>
      </c>
      <c r="T124" s="11">
        <f t="shared" si="48"/>
        <v>0</v>
      </c>
      <c r="U124" s="11">
        <f t="shared" si="49"/>
        <v>0</v>
      </c>
      <c r="V124" s="11">
        <f t="shared" si="50"/>
        <v>3.5721366388583773</v>
      </c>
      <c r="W124" s="11">
        <f t="shared" si="51"/>
        <v>0</v>
      </c>
      <c r="X124" s="11">
        <f t="shared" si="52"/>
        <v>3.9942265271108122</v>
      </c>
      <c r="Y124" s="11">
        <f t="shared" si="60"/>
        <v>0</v>
      </c>
      <c r="Z124" s="9">
        <f t="shared" si="54"/>
        <v>7.5663631659691895</v>
      </c>
      <c r="AA124" s="9">
        <f t="shared" si="55"/>
        <v>2.2857142857142856</v>
      </c>
      <c r="AB124" s="10">
        <f t="shared" si="56"/>
        <v>185.41047272727272</v>
      </c>
      <c r="AC124" s="9">
        <f t="shared" si="57"/>
        <v>5.2806488802549039</v>
      </c>
      <c r="AD124" s="8">
        <f t="shared" si="58"/>
        <v>52882.818181818184</v>
      </c>
      <c r="AE124" s="7">
        <f t="shared" si="59"/>
        <v>428.35082727272726</v>
      </c>
    </row>
    <row r="125" spans="1:31" x14ac:dyDescent="0.25">
      <c r="A125" s="22">
        <f t="shared" ca="1" si="45"/>
        <v>46182</v>
      </c>
      <c r="B125" s="21" t="s">
        <v>2</v>
      </c>
      <c r="C125" s="20" t="s">
        <v>1</v>
      </c>
      <c r="D125" s="4" t="s">
        <v>39</v>
      </c>
      <c r="E125" s="3" t="str">
        <f>VLOOKUP(D125,'[1]ANALISIS (NEW)'!C:E,3,FALSE)</f>
        <v>Cap Assy - A/C Charge Va Low Side Thread</v>
      </c>
      <c r="F125" s="19" t="str">
        <f>VLOOKUP(D125,'[1]ANALISIS (NEW)'!C:AX,48,FALSE)</f>
        <v>ESSENTRA PLASTICS,LLC DB</v>
      </c>
      <c r="G125" s="15" t="str">
        <f>VLOOKUP(D:D,'[1]ANALISIS (NEW)'!C:BY,75,FALSE)</f>
        <v>EA</v>
      </c>
      <c r="H125" s="18" t="str">
        <f>VLOOKUP(D125,'[1]ANALISIS (NEW)'!C:BF,49,FALSE)</f>
        <v xml:space="preserve">US </v>
      </c>
      <c r="I125" s="17">
        <f>VLOOKUP(D125,'[1]ANALISIS (NEW)'!C:BF,50,FALSE)</f>
        <v>9</v>
      </c>
      <c r="J125" s="16">
        <f>VLOOKUP(D125,'[1]ANALISIS (NEW)'!C:BG,57,FALSE)</f>
        <v>0.1157</v>
      </c>
      <c r="K125" s="15">
        <f>VLOOKUP(D125,'[1]ANALISIS (NEW)'!C:BF,56,FALSE)</f>
        <v>102.45454545454545</v>
      </c>
      <c r="L125" s="14">
        <v>0</v>
      </c>
      <c r="M125" s="14">
        <f>VLOOKUP(D125,'[1]Inv Sem 23 pzas '!A:F,2,FALSE)</f>
        <v>0</v>
      </c>
      <c r="N125" s="14">
        <f>VLOOKUP(D125,'[1]Inv Sem 23 pzas '!A:F,3,FALSE)</f>
        <v>0</v>
      </c>
      <c r="O125" s="14">
        <f>VLOOKUP(D125,'[1]Inv Sem 23 pzas '!A:F,4,FALSE)</f>
        <v>1978</v>
      </c>
      <c r="P125" s="14">
        <f>VLOOKUP(D125,'[1]Inv Sem 23 pzas '!A:F,5,FALSE)</f>
        <v>0</v>
      </c>
      <c r="Q125" s="14">
        <f>VLOOKUP(D125,'[1]Inv Sem 23 pzas '!A:F,6,FALSE)</f>
        <v>1937</v>
      </c>
      <c r="R125" s="13">
        <f t="shared" si="46"/>
        <v>3915</v>
      </c>
      <c r="S125" s="12">
        <f t="shared" si="47"/>
        <v>452.96549999999996</v>
      </c>
      <c r="T125" s="11">
        <f t="shared" si="48"/>
        <v>0</v>
      </c>
      <c r="U125" s="11">
        <f t="shared" si="49"/>
        <v>0</v>
      </c>
      <c r="V125" s="11">
        <f t="shared" si="50"/>
        <v>19.306122448979593</v>
      </c>
      <c r="W125" s="11">
        <f t="shared" si="51"/>
        <v>0</v>
      </c>
      <c r="X125" s="11">
        <f t="shared" si="52"/>
        <v>18.905944986690329</v>
      </c>
      <c r="Y125" s="11">
        <f t="shared" si="60"/>
        <v>0</v>
      </c>
      <c r="Z125" s="9">
        <f t="shared" si="54"/>
        <v>38.212067435669923</v>
      </c>
      <c r="AA125" s="9">
        <f t="shared" si="55"/>
        <v>2.2857142857142856</v>
      </c>
      <c r="AB125" s="10">
        <f t="shared" si="56"/>
        <v>27.094836363636361</v>
      </c>
      <c r="AC125" s="9">
        <f t="shared" si="57"/>
        <v>35.926353149955638</v>
      </c>
      <c r="AD125" s="8">
        <f t="shared" si="58"/>
        <v>3680.818181818182</v>
      </c>
      <c r="AE125" s="7">
        <f t="shared" si="59"/>
        <v>425.87066363636364</v>
      </c>
    </row>
    <row r="126" spans="1:31" x14ac:dyDescent="0.25">
      <c r="A126" s="22">
        <f t="shared" ca="1" si="45"/>
        <v>46182</v>
      </c>
      <c r="B126" s="21" t="s">
        <v>2</v>
      </c>
      <c r="C126" s="20" t="s">
        <v>1</v>
      </c>
      <c r="D126" s="4" t="s">
        <v>38</v>
      </c>
      <c r="E126" s="3" t="str">
        <f>VLOOKUP(D126,'[1]ANALISIS (NEW)'!C:E,3,FALSE)</f>
        <v>Label</v>
      </c>
      <c r="F126" s="19" t="str">
        <f>VLOOKUP(D126,'[1]ANALISIS (NEW)'!C:AX,48,FALSE)</f>
        <v>GENERAL LABELS AND PRINT</v>
      </c>
      <c r="G126" s="15" t="str">
        <f>VLOOKUP(D:D,'[1]ANALISIS (NEW)'!C:BY,75,FALSE)</f>
        <v>EA</v>
      </c>
      <c r="H126" s="18" t="str">
        <f>VLOOKUP(D126,'[1]ANALISIS (NEW)'!C:BF,49,FALSE)</f>
        <v xml:space="preserve">US </v>
      </c>
      <c r="I126" s="17">
        <f>VLOOKUP(D126,'[1]ANALISIS (NEW)'!C:BF,50,FALSE)</f>
        <v>9</v>
      </c>
      <c r="J126" s="16">
        <f>VLOOKUP(D126,'[1]ANALISIS (NEW)'!C:BG,57,FALSE)</f>
        <v>2.8289999999999999E-2</v>
      </c>
      <c r="K126" s="15">
        <f>VLOOKUP(D126,'[1]ANALISIS (NEW)'!C:BF,56,FALSE)+0.1</f>
        <v>129.55454545454546</v>
      </c>
      <c r="L126" s="14">
        <v>0</v>
      </c>
      <c r="M126" s="14">
        <f>VLOOKUP(D126,'[1]Inv Sem 23 pzas '!A:F,2,FALSE)</f>
        <v>0</v>
      </c>
      <c r="N126" s="14">
        <f>VLOOKUP(D126,'[1]Inv Sem 23 pzas '!A:F,3,FALSE)</f>
        <v>0</v>
      </c>
      <c r="O126" s="14">
        <f>VLOOKUP(D126,'[1]Inv Sem 23 pzas '!A:F,4,FALSE)</f>
        <v>0</v>
      </c>
      <c r="P126" s="14">
        <f>VLOOKUP(D126,'[1]Inv Sem 23 pzas '!A:F,5,FALSE)</f>
        <v>0</v>
      </c>
      <c r="Q126" s="14">
        <f>VLOOKUP(D126,'[1]Inv Sem 23 pzas '!A:F,6,FALSE)</f>
        <v>15000</v>
      </c>
      <c r="R126" s="13">
        <f t="shared" si="46"/>
        <v>15000</v>
      </c>
      <c r="S126" s="12">
        <f t="shared" si="47"/>
        <v>424.34999999999997</v>
      </c>
      <c r="T126" s="11">
        <f t="shared" si="48"/>
        <v>0</v>
      </c>
      <c r="U126" s="11">
        <f t="shared" si="49"/>
        <v>0</v>
      </c>
      <c r="V126" s="11">
        <f t="shared" si="50"/>
        <v>0</v>
      </c>
      <c r="W126" s="11">
        <f t="shared" si="51"/>
        <v>0</v>
      </c>
      <c r="X126" s="11">
        <f t="shared" si="52"/>
        <v>115.78134867728579</v>
      </c>
      <c r="Y126" s="11">
        <f t="shared" si="60"/>
        <v>0</v>
      </c>
      <c r="Z126" s="9">
        <f t="shared" si="54"/>
        <v>115.78134867728579</v>
      </c>
      <c r="AA126" s="9">
        <f t="shared" si="55"/>
        <v>2.2857142857142856</v>
      </c>
      <c r="AB126" s="10">
        <f t="shared" si="56"/>
        <v>8.3773670649350649</v>
      </c>
      <c r="AC126" s="9">
        <f t="shared" si="57"/>
        <v>113.4956343915715</v>
      </c>
      <c r="AD126" s="8">
        <f t="shared" si="58"/>
        <v>14703.875324675322</v>
      </c>
      <c r="AE126" s="7">
        <f t="shared" si="59"/>
        <v>415.97263293506484</v>
      </c>
    </row>
    <row r="127" spans="1:31" x14ac:dyDescent="0.25">
      <c r="A127" s="22">
        <f t="shared" ca="1" si="45"/>
        <v>46182</v>
      </c>
      <c r="B127" s="21" t="s">
        <v>2</v>
      </c>
      <c r="C127" s="20" t="s">
        <v>1</v>
      </c>
      <c r="D127" s="4" t="s">
        <v>37</v>
      </c>
      <c r="E127" s="3" t="str">
        <f>VLOOKUP(D127,'[1]ANALISIS (NEW)'!C:E,3,FALSE)</f>
        <v>5/8in P-NUT CAP</v>
      </c>
      <c r="F127" s="19" t="str">
        <f>VLOOKUP(D127,'[1]ANALISIS (NEW)'!C:AX,48,FALSE)</f>
        <v>POLYMER MOLDING INC</v>
      </c>
      <c r="G127" s="15" t="str">
        <f>VLOOKUP(D:D,'[1]ANALISIS (NEW)'!C:BY,75,FALSE)</f>
        <v>EA</v>
      </c>
      <c r="H127" s="18" t="str">
        <f>VLOOKUP(D127,'[1]ANALISIS (NEW)'!C:BF,49,FALSE)</f>
        <v xml:space="preserve">US </v>
      </c>
      <c r="I127" s="17">
        <f>VLOOKUP(D127,'[1]ANALISIS (NEW)'!C:BF,50,FALSE)</f>
        <v>9</v>
      </c>
      <c r="J127" s="16">
        <f>VLOOKUP(D127,'[1]ANALISIS (NEW)'!C:BG,57,FALSE)</f>
        <v>3.7600000000000001E-2</v>
      </c>
      <c r="K127" s="15">
        <f>VLOOKUP(D127,'[1]ANALISIS (NEW)'!C:BF,56,FALSE)</f>
        <v>5167.909090909091</v>
      </c>
      <c r="L127" s="14">
        <v>0</v>
      </c>
      <c r="M127" s="14">
        <f>VLOOKUP(D127,'[1]Inv Sem 23 pzas '!A:F,2,FALSE)</f>
        <v>0</v>
      </c>
      <c r="N127" s="14">
        <f>VLOOKUP(D127,'[1]Inv Sem 23 pzas '!A:F,3,FALSE)</f>
        <v>4000</v>
      </c>
      <c r="O127" s="14">
        <f>VLOOKUP(D127,'[1]Inv Sem 23 pzas '!A:F,4,FALSE)</f>
        <v>-1317</v>
      </c>
      <c r="P127" s="14">
        <f>VLOOKUP(D127,'[1]Inv Sem 23 pzas '!A:F,5,FALSE)</f>
        <v>0</v>
      </c>
      <c r="Q127" s="14">
        <f>VLOOKUP(D127,'[1]Inv Sem 23 pzas '!A:F,6,FALSE)</f>
        <v>20000</v>
      </c>
      <c r="R127" s="13">
        <f t="shared" si="46"/>
        <v>22683</v>
      </c>
      <c r="S127" s="12">
        <f t="shared" si="47"/>
        <v>852.88080000000002</v>
      </c>
      <c r="T127" s="11">
        <f t="shared" si="48"/>
        <v>0</v>
      </c>
      <c r="U127" s="11">
        <f t="shared" si="49"/>
        <v>0.77400742343483386</v>
      </c>
      <c r="V127" s="11">
        <f t="shared" si="50"/>
        <v>-0.25484194416591904</v>
      </c>
      <c r="W127" s="11">
        <f t="shared" si="51"/>
        <v>0</v>
      </c>
      <c r="X127" s="11">
        <f t="shared" si="52"/>
        <v>3.870037117174169</v>
      </c>
      <c r="Y127" s="11">
        <f t="shared" si="60"/>
        <v>0</v>
      </c>
      <c r="Z127" s="9">
        <f t="shared" si="54"/>
        <v>4.3892025964430843</v>
      </c>
      <c r="AA127" s="9">
        <f t="shared" si="55"/>
        <v>2.2857142857142856</v>
      </c>
      <c r="AB127" s="10">
        <f t="shared" si="56"/>
        <v>444.14487272727274</v>
      </c>
      <c r="AC127" s="9">
        <f t="shared" si="57"/>
        <v>2.1034883107287987</v>
      </c>
      <c r="AD127" s="8">
        <f t="shared" si="58"/>
        <v>10870.636363636366</v>
      </c>
      <c r="AE127" s="7">
        <f t="shared" si="59"/>
        <v>408.73592727272739</v>
      </c>
    </row>
    <row r="128" spans="1:31" x14ac:dyDescent="0.25">
      <c r="A128" s="22">
        <f t="shared" ca="1" si="45"/>
        <v>46182</v>
      </c>
      <c r="B128" s="21" t="s">
        <v>2</v>
      </c>
      <c r="C128" s="20" t="s">
        <v>1</v>
      </c>
      <c r="D128" s="4" t="s">
        <v>36</v>
      </c>
      <c r="E128" s="3" t="str">
        <f>VLOOKUP(D128,'[1]ANALISIS (NEW)'!C:E,3,FALSE)</f>
        <v>SLV ABRAS BRD MONOFI D13_T0.8_L0170</v>
      </c>
      <c r="F128" s="19" t="str">
        <f>VLOOKUP(D128,'[1]ANALISIS (NEW)'!C:AX,48,FALSE)</f>
        <v xml:space="preserve">FEDERAL-MOGUL POWERTRAIN- Qro </v>
      </c>
      <c r="G128" s="15" t="str">
        <f>VLOOKUP(D:D,'[1]ANALISIS (NEW)'!C:BY,75,FALSE)</f>
        <v>EA</v>
      </c>
      <c r="H128" s="18" t="str">
        <f>VLOOKUP(D128,'[1]ANALISIS (NEW)'!C:BF,49,FALSE)</f>
        <v xml:space="preserve">US </v>
      </c>
      <c r="I128" s="17">
        <f>VLOOKUP(D128,'[1]ANALISIS (NEW)'!C:BF,50,FALSE)</f>
        <v>9</v>
      </c>
      <c r="J128" s="16">
        <f>VLOOKUP(D128,'[1]ANALISIS (NEW)'!C:BG,57,FALSE)</f>
        <v>0.1103</v>
      </c>
      <c r="K128" s="15">
        <f>VLOOKUP(D128,'[1]ANALISIS (NEW)'!C:BF,56,FALSE)</f>
        <v>3703.6363636363635</v>
      </c>
      <c r="L128" s="14">
        <v>0</v>
      </c>
      <c r="M128" s="14">
        <f>VLOOKUP(D128,'[1]Inv Sem 23 pzas '!A:F,2,FALSE)</f>
        <v>0</v>
      </c>
      <c r="N128" s="14">
        <f>VLOOKUP(D128,'[1]Inv Sem 23 pzas '!A:F,3,FALSE)</f>
        <v>2000</v>
      </c>
      <c r="O128" s="14">
        <f>VLOOKUP(D128,'[1]Inv Sem 23 pzas '!A:F,4,FALSE)</f>
        <v>-335</v>
      </c>
      <c r="P128" s="14">
        <f>VLOOKUP(D128,'[1]Inv Sem 23 pzas '!A:F,5,FALSE)</f>
        <v>0</v>
      </c>
      <c r="Q128" s="14">
        <f>VLOOKUP(D128,'[1]Inv Sem 23 pzas '!A:F,6,FALSE)</f>
        <v>10000</v>
      </c>
      <c r="R128" s="13">
        <f t="shared" si="46"/>
        <v>11665</v>
      </c>
      <c r="S128" s="12">
        <f t="shared" si="47"/>
        <v>1286.6495</v>
      </c>
      <c r="T128" s="11">
        <f t="shared" si="48"/>
        <v>0</v>
      </c>
      <c r="U128" s="11">
        <f t="shared" si="49"/>
        <v>0.54000981836033379</v>
      </c>
      <c r="V128" s="11">
        <f t="shared" si="50"/>
        <v>-9.0451644575355913E-2</v>
      </c>
      <c r="W128" s="11">
        <f t="shared" si="51"/>
        <v>0</v>
      </c>
      <c r="X128" s="11">
        <f t="shared" si="52"/>
        <v>2.7000490918016693</v>
      </c>
      <c r="Y128" s="11">
        <f t="shared" si="60"/>
        <v>0</v>
      </c>
      <c r="Z128" s="9">
        <f t="shared" si="54"/>
        <v>3.1496072655866474</v>
      </c>
      <c r="AA128" s="9">
        <f t="shared" si="55"/>
        <v>2.2857142857142856</v>
      </c>
      <c r="AB128" s="10">
        <f t="shared" si="56"/>
        <v>933.73963636363612</v>
      </c>
      <c r="AC128" s="9">
        <f t="shared" si="57"/>
        <v>0.8638929798723618</v>
      </c>
      <c r="AD128" s="8">
        <f t="shared" si="58"/>
        <v>3199.5454545454563</v>
      </c>
      <c r="AE128" s="7">
        <f t="shared" si="59"/>
        <v>352.90986363636381</v>
      </c>
    </row>
    <row r="129" spans="1:31" x14ac:dyDescent="0.25">
      <c r="A129" s="22">
        <f t="shared" ca="1" si="45"/>
        <v>46182</v>
      </c>
      <c r="B129" s="21" t="s">
        <v>2</v>
      </c>
      <c r="C129" s="20" t="s">
        <v>1</v>
      </c>
      <c r="D129" s="4" t="s">
        <v>35</v>
      </c>
      <c r="E129" s="3" t="str">
        <f>VLOOKUP(D129,'[1]ANALISIS (NEW)'!C:E,3,FALSE)</f>
        <v>SLV HT FBRGLS FOIL REFLECTIVE PROTECTOR</v>
      </c>
      <c r="F129" s="19" t="str">
        <f>VLOOKUP(D129,'[1]ANALISIS (NEW)'!C:AX,48,FALSE)</f>
        <v xml:space="preserve">FEDERAL-MOGUL POWERTRAIN- Qro </v>
      </c>
      <c r="G129" s="15" t="str">
        <f>VLOOKUP(D:D,'[1]ANALISIS (NEW)'!C:BY,75,FALSE)</f>
        <v>EA</v>
      </c>
      <c r="H129" s="18" t="str">
        <f>VLOOKUP(D129,'[1]ANALISIS (NEW)'!C:BF,49,FALSE)</f>
        <v xml:space="preserve">US </v>
      </c>
      <c r="I129" s="17">
        <f>VLOOKUP(D129,'[1]ANALISIS (NEW)'!C:BF,50,FALSE)</f>
        <v>9</v>
      </c>
      <c r="J129" s="16">
        <f>VLOOKUP(D129,'[1]ANALISIS (NEW)'!C:BG,57,FALSE)</f>
        <v>0.95199999999999996</v>
      </c>
      <c r="K129" s="15">
        <f>VLOOKUP(D129,'[1]ANALISIS (NEW)'!C:BF,56,FALSE)</f>
        <v>142.36363636363637</v>
      </c>
      <c r="L129" s="14">
        <v>0</v>
      </c>
      <c r="M129" s="14">
        <f>VLOOKUP(D129,'[1]Inv Sem 23 pzas '!A:F,2,FALSE)</f>
        <v>0</v>
      </c>
      <c r="N129" s="14">
        <f>VLOOKUP(D129,'[1]Inv Sem 23 pzas '!A:F,3,FALSE)</f>
        <v>0</v>
      </c>
      <c r="O129" s="14">
        <f>VLOOKUP(D129,'[1]Inv Sem 23 pzas '!A:F,4,FALSE)</f>
        <v>289</v>
      </c>
      <c r="P129" s="14">
        <f>VLOOKUP(D129,'[1]Inv Sem 23 pzas '!A:F,5,FALSE)</f>
        <v>0</v>
      </c>
      <c r="Q129" s="14">
        <f>VLOOKUP(D129,'[1]Inv Sem 23 pzas '!A:F,6,FALSE)</f>
        <v>400</v>
      </c>
      <c r="R129" s="13">
        <f t="shared" si="46"/>
        <v>689</v>
      </c>
      <c r="S129" s="12">
        <f t="shared" si="47"/>
        <v>655.928</v>
      </c>
      <c r="T129" s="11">
        <f t="shared" si="48"/>
        <v>0</v>
      </c>
      <c r="U129" s="11">
        <f t="shared" si="49"/>
        <v>0</v>
      </c>
      <c r="V129" s="11">
        <f t="shared" si="50"/>
        <v>2.0300127713920815</v>
      </c>
      <c r="W129" s="11">
        <f t="shared" si="51"/>
        <v>0</v>
      </c>
      <c r="X129" s="11">
        <f t="shared" si="52"/>
        <v>2.8097062579821199</v>
      </c>
      <c r="Y129" s="11">
        <f t="shared" si="60"/>
        <v>0</v>
      </c>
      <c r="Z129" s="9">
        <f t="shared" si="54"/>
        <v>4.8397190293742014</v>
      </c>
      <c r="AA129" s="9">
        <f t="shared" si="55"/>
        <v>2.2857142857142856</v>
      </c>
      <c r="AB129" s="10">
        <f t="shared" si="56"/>
        <v>309.78327272727273</v>
      </c>
      <c r="AC129" s="9">
        <f t="shared" si="57"/>
        <v>2.5540047436599158</v>
      </c>
      <c r="AD129" s="8">
        <f t="shared" si="58"/>
        <v>363.59740259740261</v>
      </c>
      <c r="AE129" s="7">
        <f t="shared" si="59"/>
        <v>346.14472727272727</v>
      </c>
    </row>
    <row r="130" spans="1:31" x14ac:dyDescent="0.25">
      <c r="A130" s="22">
        <f t="shared" ref="A130:A162" ca="1" si="61">TODAY()</f>
        <v>46182</v>
      </c>
      <c r="B130" s="21" t="s">
        <v>2</v>
      </c>
      <c r="C130" s="20" t="s">
        <v>1</v>
      </c>
      <c r="D130" s="4" t="s">
        <v>34</v>
      </c>
      <c r="E130" s="3" t="str">
        <f>VLOOKUP(D130,'[1]ANALISIS (NEW)'!C:E,3,FALSE)</f>
        <v>SHIPPING CAP / BULK / MA NIFOLD</v>
      </c>
      <c r="F130" s="19" t="str">
        <f>VLOOKUP(D130,'[1]ANALISIS (NEW)'!C:AX,48,FALSE)</f>
        <v>VPI AQUISITION LLC DBA V</v>
      </c>
      <c r="G130" s="15" t="str">
        <f>VLOOKUP(D:D,'[1]ANALISIS (NEW)'!C:BY,75,FALSE)</f>
        <v>EA</v>
      </c>
      <c r="H130" s="18" t="str">
        <f>VLOOKUP(D130,'[1]ANALISIS (NEW)'!C:BF,49,FALSE)</f>
        <v xml:space="preserve">US </v>
      </c>
      <c r="I130" s="17">
        <f>VLOOKUP(D130,'[1]ANALISIS (NEW)'!C:BF,50,FALSE)</f>
        <v>9</v>
      </c>
      <c r="J130" s="16">
        <f>VLOOKUP(D130,'[1]ANALISIS (NEW)'!C:BG,57,FALSE)</f>
        <v>3.7289999999999997E-2</v>
      </c>
      <c r="K130" s="15">
        <f>VLOOKUP(D130,'[1]ANALISIS (NEW)'!C:BF,56,FALSE)</f>
        <v>1338.1818181818182</v>
      </c>
      <c r="L130" s="14">
        <v>1500</v>
      </c>
      <c r="M130" s="14">
        <f>VLOOKUP(D130,'[1]Inv Sem 23 pzas '!A:F,2,FALSE)</f>
        <v>0</v>
      </c>
      <c r="N130" s="14">
        <f>VLOOKUP(D130,'[1]Inv Sem 23 pzas '!A:F,3,FALSE)</f>
        <v>3000</v>
      </c>
      <c r="O130" s="14">
        <f>VLOOKUP(D130,'[1]Inv Sem 23 pzas '!A:F,4,FALSE)</f>
        <v>2556</v>
      </c>
      <c r="P130" s="14">
        <f>VLOOKUP(D130,'[1]Inv Sem 23 pzas '!A:F,5,FALSE)</f>
        <v>0</v>
      </c>
      <c r="Q130" s="14">
        <f>VLOOKUP(D130,'[1]Inv Sem 23 pzas '!A:F,6,FALSE)</f>
        <v>4500</v>
      </c>
      <c r="R130" s="13">
        <f t="shared" ref="R130:R161" si="62">SUM(L130:Q130)</f>
        <v>11556</v>
      </c>
      <c r="S130" s="12">
        <f t="shared" ref="S130:S161" si="63">J130*R130</f>
        <v>430.92323999999996</v>
      </c>
      <c r="T130" s="11">
        <f t="shared" ref="T130:T162" si="64">IFERROR(M130/K130,0)</f>
        <v>0</v>
      </c>
      <c r="U130" s="11">
        <f t="shared" ref="U130:U162" si="65">IFERROR(N130/K130,0)</f>
        <v>2.2418478260869565</v>
      </c>
      <c r="V130" s="11">
        <f t="shared" ref="V130:V162" si="66">IFERROR(O130/K130,0)</f>
        <v>1.910054347826087</v>
      </c>
      <c r="W130" s="11">
        <f t="shared" ref="W130:W162" si="67">IFERROR(P130/K130,0)</f>
        <v>0</v>
      </c>
      <c r="X130" s="11">
        <f t="shared" ref="X130:X162" si="68">IFERROR(Q130/K130,0)</f>
        <v>3.3627717391304346</v>
      </c>
      <c r="Y130" s="11">
        <f t="shared" si="60"/>
        <v>1.1209239130434783</v>
      </c>
      <c r="Z130" s="9">
        <f t="shared" ref="Z130:Z161" si="69">SUM(T130:Y130)</f>
        <v>8.6355978260869559</v>
      </c>
      <c r="AA130" s="9">
        <f t="shared" ref="AA130:AA162" si="70">(I130+7)/7</f>
        <v>2.2857142857142856</v>
      </c>
      <c r="AB130" s="10">
        <f t="shared" ref="AB130:AB161" si="71">AA130*K130*J130</f>
        <v>114.05897142857141</v>
      </c>
      <c r="AC130" s="9">
        <f t="shared" ref="AC130:AC162" si="72">Z130-AA130</f>
        <v>6.3498835403726703</v>
      </c>
      <c r="AD130" s="8">
        <f t="shared" ref="AD130:AD161" si="73">AC130*K130</f>
        <v>8497.2987012987014</v>
      </c>
      <c r="AE130" s="7">
        <f t="shared" ref="AE130:AE161" si="74">AD130*J130</f>
        <v>316.86426857142857</v>
      </c>
    </row>
    <row r="131" spans="1:31" x14ac:dyDescent="0.25">
      <c r="A131" s="22">
        <f t="shared" ca="1" si="61"/>
        <v>46182</v>
      </c>
      <c r="B131" s="21" t="s">
        <v>2</v>
      </c>
      <c r="C131" s="20" t="s">
        <v>1</v>
      </c>
      <c r="D131" s="4" t="s">
        <v>33</v>
      </c>
      <c r="E131" s="3" t="str">
        <f>VLOOKUP(D131,'[1]ANALISIS (NEW)'!C:E,3,FALSE)</f>
        <v>SHP'G/CAP-DSL/M 1/2" Male 90º DSL cap</v>
      </c>
      <c r="F131" s="19" t="str">
        <f>VLOOKUP(D131,'[1]ANALISIS (NEW)'!C:AX,48,FALSE)</f>
        <v>POLYMER MOLDING INC</v>
      </c>
      <c r="G131" s="15" t="str">
        <f>VLOOKUP(D:D,'[1]ANALISIS (NEW)'!C:BY,75,FALSE)</f>
        <v>EA</v>
      </c>
      <c r="H131" s="18" t="str">
        <f>VLOOKUP(D131,'[1]ANALISIS (NEW)'!C:BF,49,FALSE)</f>
        <v xml:space="preserve">US </v>
      </c>
      <c r="I131" s="17">
        <f>VLOOKUP(D131,'[1]ANALISIS (NEW)'!C:BF,50,FALSE)</f>
        <v>9</v>
      </c>
      <c r="J131" s="16">
        <f>VLOOKUP(D131,'[1]ANALISIS (NEW)'!C:BG,57,FALSE)</f>
        <v>6.5000000000000002E-2</v>
      </c>
      <c r="K131" s="15">
        <f>VLOOKUP(D131,'[1]ANALISIS (NEW)'!C:BF,56,FALSE)</f>
        <v>40.909090909090907</v>
      </c>
      <c r="L131" s="14">
        <v>0</v>
      </c>
      <c r="M131" s="14">
        <f>VLOOKUP(D131,'[1]Inv Sem 23 pzas '!A:F,2,FALSE)</f>
        <v>0</v>
      </c>
      <c r="N131" s="14">
        <f>VLOOKUP(D131,'[1]Inv Sem 23 pzas '!A:F,3,FALSE)</f>
        <v>3000</v>
      </c>
      <c r="O131" s="14">
        <f>VLOOKUP(D131,'[1]Inv Sem 23 pzas '!A:F,4,FALSE)</f>
        <v>179</v>
      </c>
      <c r="P131" s="14">
        <f>VLOOKUP(D131,'[1]Inv Sem 23 pzas '!A:F,5,FALSE)</f>
        <v>0</v>
      </c>
      <c r="Q131" s="14">
        <f>VLOOKUP(D131,'[1]Inv Sem 23 pzas '!A:F,6,FALSE)</f>
        <v>1500</v>
      </c>
      <c r="R131" s="13">
        <f t="shared" si="62"/>
        <v>4679</v>
      </c>
      <c r="S131" s="12">
        <f t="shared" si="63"/>
        <v>304.13499999999999</v>
      </c>
      <c r="T131" s="11">
        <f t="shared" si="64"/>
        <v>0</v>
      </c>
      <c r="U131" s="11">
        <f t="shared" si="65"/>
        <v>73.333333333333343</v>
      </c>
      <c r="V131" s="11">
        <f t="shared" si="66"/>
        <v>4.3755555555555556</v>
      </c>
      <c r="W131" s="11">
        <f t="shared" si="67"/>
        <v>0</v>
      </c>
      <c r="X131" s="11">
        <f t="shared" si="68"/>
        <v>36.666666666666671</v>
      </c>
      <c r="Y131" s="11">
        <f t="shared" si="60"/>
        <v>0</v>
      </c>
      <c r="Z131" s="9">
        <f t="shared" si="69"/>
        <v>114.37555555555556</v>
      </c>
      <c r="AA131" s="9">
        <f t="shared" si="70"/>
        <v>2.2857142857142856</v>
      </c>
      <c r="AB131" s="10">
        <f t="shared" si="71"/>
        <v>6.0779220779220777</v>
      </c>
      <c r="AC131" s="9">
        <f t="shared" si="72"/>
        <v>112.08984126984127</v>
      </c>
      <c r="AD131" s="8">
        <f t="shared" si="73"/>
        <v>4585.4935064935062</v>
      </c>
      <c r="AE131" s="7">
        <f t="shared" si="74"/>
        <v>298.05707792207789</v>
      </c>
    </row>
    <row r="132" spans="1:31" x14ac:dyDescent="0.25">
      <c r="A132" s="22">
        <f t="shared" ca="1" si="61"/>
        <v>46182</v>
      </c>
      <c r="B132" s="21" t="s">
        <v>2</v>
      </c>
      <c r="C132" s="20" t="s">
        <v>1</v>
      </c>
      <c r="D132" s="4" t="s">
        <v>32</v>
      </c>
      <c r="E132" s="3" t="str">
        <f>VLOOKUP(D132,'[1]ANALISIS (NEW)'!C:E,3,FALSE)</f>
        <v>CAP-12MM CAPO FLANGE</v>
      </c>
      <c r="F132" s="19" t="str">
        <f>VLOOKUP(D132,'[1]ANALISIS (NEW)'!C:AX,48,FALSE)</f>
        <v>Caplugs LLC</v>
      </c>
      <c r="G132" s="15" t="str">
        <f>VLOOKUP(D:D,'[1]ANALISIS (NEW)'!C:BY,75,FALSE)</f>
        <v>EA</v>
      </c>
      <c r="H132" s="18" t="str">
        <f>VLOOKUP(D132,'[1]ANALISIS (NEW)'!C:BF,49,FALSE)</f>
        <v xml:space="preserve">US </v>
      </c>
      <c r="I132" s="17">
        <f>VLOOKUP(D132,'[1]ANALISIS (NEW)'!C:BF,50,FALSE)</f>
        <v>9</v>
      </c>
      <c r="J132" s="16">
        <f>VLOOKUP(D132,'[1]ANALISIS (NEW)'!C:BG,57,FALSE)</f>
        <v>4.0049999999999995E-2</v>
      </c>
      <c r="K132" s="15">
        <f>VLOOKUP(D132,'[1]ANALISIS (NEW)'!C:BF,56,FALSE)</f>
        <v>1692.2727272727273</v>
      </c>
      <c r="L132" s="14">
        <v>0</v>
      </c>
      <c r="M132" s="14">
        <f>VLOOKUP(D132,'[1]Inv Sem 23 pzas '!A:F,2,FALSE)</f>
        <v>0</v>
      </c>
      <c r="N132" s="14">
        <f>VLOOKUP(D132,'[1]Inv Sem 23 pzas '!A:F,3,FALSE)</f>
        <v>0</v>
      </c>
      <c r="O132" s="14">
        <f>VLOOKUP(D132,'[1]Inv Sem 23 pzas '!A:F,4,FALSE)</f>
        <v>2696</v>
      </c>
      <c r="P132" s="14">
        <f>VLOOKUP(D132,'[1]Inv Sem 23 pzas '!A:F,5,FALSE)</f>
        <v>0</v>
      </c>
      <c r="Q132" s="14">
        <f>VLOOKUP(D132,'[1]Inv Sem 23 pzas '!A:F,6,FALSE)</f>
        <v>8000</v>
      </c>
      <c r="R132" s="13">
        <f t="shared" si="62"/>
        <v>10696</v>
      </c>
      <c r="S132" s="12">
        <f t="shared" si="63"/>
        <v>428.37479999999994</v>
      </c>
      <c r="T132" s="11">
        <f t="shared" si="64"/>
        <v>0</v>
      </c>
      <c r="U132" s="11">
        <f t="shared" si="65"/>
        <v>0</v>
      </c>
      <c r="V132" s="11">
        <f t="shared" si="66"/>
        <v>1.5931238248724147</v>
      </c>
      <c r="W132" s="11">
        <f t="shared" si="67"/>
        <v>0</v>
      </c>
      <c r="X132" s="11">
        <f t="shared" si="68"/>
        <v>4.7273704002148804</v>
      </c>
      <c r="Y132" s="11">
        <f t="shared" si="60"/>
        <v>0</v>
      </c>
      <c r="Z132" s="9">
        <f t="shared" si="69"/>
        <v>6.3204942250872946</v>
      </c>
      <c r="AA132" s="9">
        <f t="shared" si="70"/>
        <v>2.2857142857142856</v>
      </c>
      <c r="AB132" s="10">
        <f t="shared" si="71"/>
        <v>154.9154805194805</v>
      </c>
      <c r="AC132" s="9">
        <f t="shared" si="72"/>
        <v>4.0347799393730091</v>
      </c>
      <c r="AD132" s="8">
        <f t="shared" si="73"/>
        <v>6827.9480519480512</v>
      </c>
      <c r="AE132" s="7">
        <f t="shared" si="74"/>
        <v>273.45931948051941</v>
      </c>
    </row>
    <row r="133" spans="1:31" x14ac:dyDescent="0.25">
      <c r="A133" s="22">
        <f t="shared" ca="1" si="61"/>
        <v>46182</v>
      </c>
      <c r="B133" s="21" t="s">
        <v>2</v>
      </c>
      <c r="C133" s="20" t="s">
        <v>1</v>
      </c>
      <c r="D133" s="4" t="s">
        <v>31</v>
      </c>
      <c r="E133" s="3" t="str">
        <f>VLOOKUP(D133,'[1]ANALISIS (NEW)'!C:E,3,FALSE)</f>
        <v>SLV ABRAS BRD TWIST TUBE</v>
      </c>
      <c r="F133" s="19" t="str">
        <f>VLOOKUP(D133,'[1]ANALISIS (NEW)'!C:AX,48,FALSE)</f>
        <v xml:space="preserve">FEDERAL-MOGUL POWERTRAIN- Qro </v>
      </c>
      <c r="G133" s="15" t="str">
        <f>VLOOKUP(D:D,'[1]ANALISIS (NEW)'!C:BY,75,FALSE)</f>
        <v>EA</v>
      </c>
      <c r="H133" s="18" t="str">
        <f>VLOOKUP(D133,'[1]ANALISIS (NEW)'!C:BF,49,FALSE)</f>
        <v xml:space="preserve">US </v>
      </c>
      <c r="I133" s="17">
        <f>VLOOKUP(D133,'[1]ANALISIS (NEW)'!C:BF,50,FALSE)</f>
        <v>9</v>
      </c>
      <c r="J133" s="16">
        <f>VLOOKUP(D133,'[1]ANALISIS (NEW)'!C:BG,57,FALSE)</f>
        <v>9.0799999999999992E-2</v>
      </c>
      <c r="K133" s="15">
        <f>VLOOKUP(D133,'[1]ANALISIS (NEW)'!C:BF,56,FALSE)</f>
        <v>12.636363636363637</v>
      </c>
      <c r="L133" s="14">
        <v>0</v>
      </c>
      <c r="M133" s="14">
        <f>VLOOKUP(D133,'[1]Inv Sem 23 pzas '!A:F,2,FALSE)</f>
        <v>0</v>
      </c>
      <c r="N133" s="14">
        <f>VLOOKUP(D133,'[1]Inv Sem 23 pzas '!A:F,3,FALSE)</f>
        <v>0</v>
      </c>
      <c r="O133" s="14">
        <f>VLOOKUP(D133,'[1]Inv Sem 23 pzas '!A:F,4,FALSE)</f>
        <v>50</v>
      </c>
      <c r="P133" s="14">
        <f>VLOOKUP(D133,'[1]Inv Sem 23 pzas '!A:F,5,FALSE)</f>
        <v>0</v>
      </c>
      <c r="Q133" s="14">
        <f>VLOOKUP(D133,'[1]Inv Sem 23 pzas '!A:F,6,FALSE)</f>
        <v>2830</v>
      </c>
      <c r="R133" s="13">
        <f t="shared" si="62"/>
        <v>2880</v>
      </c>
      <c r="S133" s="12">
        <f t="shared" si="63"/>
        <v>261.50399999999996</v>
      </c>
      <c r="T133" s="11">
        <f t="shared" si="64"/>
        <v>0</v>
      </c>
      <c r="U133" s="11">
        <f t="shared" si="65"/>
        <v>0</v>
      </c>
      <c r="V133" s="11">
        <f t="shared" si="66"/>
        <v>3.9568345323741005</v>
      </c>
      <c r="W133" s="11">
        <f t="shared" si="67"/>
        <v>0</v>
      </c>
      <c r="X133" s="11">
        <f t="shared" si="68"/>
        <v>223.9568345323741</v>
      </c>
      <c r="Y133" s="11">
        <f t="shared" si="60"/>
        <v>0</v>
      </c>
      <c r="Z133" s="9">
        <f t="shared" si="69"/>
        <v>227.91366906474821</v>
      </c>
      <c r="AA133" s="9">
        <f t="shared" si="70"/>
        <v>2.2857142857142856</v>
      </c>
      <c r="AB133" s="10">
        <f t="shared" si="71"/>
        <v>2.622587012987013</v>
      </c>
      <c r="AC133" s="9">
        <f t="shared" si="72"/>
        <v>225.62795477903393</v>
      </c>
      <c r="AD133" s="8">
        <f t="shared" si="73"/>
        <v>2851.1168831168834</v>
      </c>
      <c r="AE133" s="7">
        <f t="shared" si="74"/>
        <v>258.88141298701299</v>
      </c>
    </row>
    <row r="134" spans="1:31" x14ac:dyDescent="0.25">
      <c r="A134" s="22">
        <f t="shared" ca="1" si="61"/>
        <v>46182</v>
      </c>
      <c r="B134" s="21" t="s">
        <v>2</v>
      </c>
      <c r="C134" s="20" t="s">
        <v>1</v>
      </c>
      <c r="D134" s="4" t="s">
        <v>30</v>
      </c>
      <c r="E134" s="3" t="str">
        <f>VLOOKUP(D134,'[1]ANALISIS (NEW)'!C:E,3,FALSE)</f>
        <v>SHIPPING CAP / BULK / 3/ 8INCH SLIM</v>
      </c>
      <c r="F134" s="19" t="str">
        <f>VLOOKUP(D134,'[1]ANALISIS (NEW)'!C:AX,48,FALSE)</f>
        <v>VPI AQUISITION LLC DBA V</v>
      </c>
      <c r="G134" s="15" t="str">
        <f>VLOOKUP(D:D,'[1]ANALISIS (NEW)'!C:BY,75,FALSE)</f>
        <v>EA</v>
      </c>
      <c r="H134" s="18" t="str">
        <f>VLOOKUP(D134,'[1]ANALISIS (NEW)'!C:BF,49,FALSE)</f>
        <v xml:space="preserve">US </v>
      </c>
      <c r="I134" s="17">
        <f>VLOOKUP(D134,'[1]ANALISIS (NEW)'!C:BF,50,FALSE)</f>
        <v>9</v>
      </c>
      <c r="J134" s="16">
        <f>VLOOKUP(D134,'[1]ANALISIS (NEW)'!C:BG,57,FALSE)</f>
        <v>3.7899999999999996E-2</v>
      </c>
      <c r="K134" s="15">
        <f>VLOOKUP(D134,'[1]ANALISIS (NEW)'!C:BF,56,FALSE)</f>
        <v>1349.4545454545455</v>
      </c>
      <c r="L134" s="14">
        <v>0</v>
      </c>
      <c r="M134" s="14">
        <f>VLOOKUP(D134,'[1]Inv Sem 23 pzas '!A:F,2,FALSE)</f>
        <v>0</v>
      </c>
      <c r="N134" s="14">
        <f>VLOOKUP(D134,'[1]Inv Sem 23 pzas '!A:F,3,FALSE)</f>
        <v>1800</v>
      </c>
      <c r="O134" s="14">
        <f>VLOOKUP(D134,'[1]Inv Sem 23 pzas '!A:F,4,FALSE)</f>
        <v>3561</v>
      </c>
      <c r="P134" s="14">
        <f>VLOOKUP(D134,'[1]Inv Sem 23 pzas '!A:F,5,FALSE)</f>
        <v>0</v>
      </c>
      <c r="Q134" s="14">
        <f>VLOOKUP(D134,'[1]Inv Sem 23 pzas '!A:F,6,FALSE)</f>
        <v>4500</v>
      </c>
      <c r="R134" s="13">
        <f t="shared" si="62"/>
        <v>9861</v>
      </c>
      <c r="S134" s="12">
        <f t="shared" si="63"/>
        <v>373.73189999999994</v>
      </c>
      <c r="T134" s="11">
        <f t="shared" si="64"/>
        <v>0</v>
      </c>
      <c r="U134" s="11">
        <f t="shared" si="65"/>
        <v>1.333872271624899</v>
      </c>
      <c r="V134" s="11">
        <f t="shared" si="66"/>
        <v>2.6388439773645915</v>
      </c>
      <c r="W134" s="11">
        <f t="shared" si="67"/>
        <v>0</v>
      </c>
      <c r="X134" s="11">
        <f t="shared" si="68"/>
        <v>3.3346806790622474</v>
      </c>
      <c r="Y134" s="11">
        <f t="shared" si="60"/>
        <v>0</v>
      </c>
      <c r="Z134" s="9">
        <f t="shared" si="69"/>
        <v>7.3073969280517375</v>
      </c>
      <c r="AA134" s="9">
        <f t="shared" si="70"/>
        <v>2.2857142857142856</v>
      </c>
      <c r="AB134" s="10">
        <f t="shared" si="71"/>
        <v>116.90131948051946</v>
      </c>
      <c r="AC134" s="9">
        <f t="shared" si="72"/>
        <v>5.0216826423374519</v>
      </c>
      <c r="AD134" s="8">
        <f t="shared" si="73"/>
        <v>6776.5324675324673</v>
      </c>
      <c r="AE134" s="7">
        <f t="shared" si="74"/>
        <v>256.83058051948046</v>
      </c>
    </row>
    <row r="135" spans="1:31" x14ac:dyDescent="0.25">
      <c r="A135" s="22">
        <f t="shared" ca="1" si="61"/>
        <v>46182</v>
      </c>
      <c r="B135" s="21" t="s">
        <v>2</v>
      </c>
      <c r="C135" s="20" t="s">
        <v>1</v>
      </c>
      <c r="D135" s="4" t="s">
        <v>29</v>
      </c>
      <c r="E135" s="3" t="str">
        <f>VLOOKUP(D135,'[1]ANALISIS (NEW)'!C:E,3,FALSE)</f>
        <v>CAP-19MM CAPO FLANGE</v>
      </c>
      <c r="F135" s="19" t="str">
        <f>VLOOKUP(D135,'[1]ANALISIS (NEW)'!C:AX,48,FALSE)</f>
        <v>Caplugs LLC</v>
      </c>
      <c r="G135" s="15" t="str">
        <f>VLOOKUP(D:D,'[1]ANALISIS (NEW)'!C:BY,75,FALSE)</f>
        <v>EA</v>
      </c>
      <c r="H135" s="18" t="str">
        <f>VLOOKUP(D135,'[1]ANALISIS (NEW)'!C:BF,49,FALSE)</f>
        <v xml:space="preserve">US </v>
      </c>
      <c r="I135" s="17">
        <f>VLOOKUP(D135,'[1]ANALISIS (NEW)'!C:BF,50,FALSE)</f>
        <v>9</v>
      </c>
      <c r="J135" s="16">
        <f>VLOOKUP(D135,'[1]ANALISIS (NEW)'!C:BG,57,FALSE)</f>
        <v>3.5290000000000002E-2</v>
      </c>
      <c r="K135" s="15">
        <f>VLOOKUP(D135,'[1]ANALISIS (NEW)'!C:BF,56,FALSE)</f>
        <v>790.98636363636365</v>
      </c>
      <c r="L135" s="14">
        <v>3000</v>
      </c>
      <c r="M135" s="14">
        <f>VLOOKUP(D135,'[1]Inv Sem 23 pzas '!A:F,2,FALSE)</f>
        <v>0</v>
      </c>
      <c r="N135" s="14">
        <f>VLOOKUP(D135,'[1]Inv Sem 23 pzas '!A:F,3,FALSE)</f>
        <v>0</v>
      </c>
      <c r="O135" s="14">
        <f>VLOOKUP(D135,'[1]Inv Sem 23 pzas '!A:F,4,FALSE)</f>
        <v>1939</v>
      </c>
      <c r="P135" s="14">
        <f>VLOOKUP(D135,'[1]Inv Sem 23 pzas '!A:F,5,FALSE)</f>
        <v>0</v>
      </c>
      <c r="Q135" s="14">
        <f>VLOOKUP(D135,'[1]Inv Sem 23 pzas '!A:F,6,FALSE)</f>
        <v>3500</v>
      </c>
      <c r="R135" s="13">
        <f t="shared" si="62"/>
        <v>8439</v>
      </c>
      <c r="S135" s="12">
        <f t="shared" si="63"/>
        <v>297.81231000000002</v>
      </c>
      <c r="T135" s="11">
        <f t="shared" si="64"/>
        <v>0</v>
      </c>
      <c r="U135" s="11">
        <f t="shared" si="65"/>
        <v>0</v>
      </c>
      <c r="V135" s="11">
        <f t="shared" si="66"/>
        <v>2.4513696937655518</v>
      </c>
      <c r="W135" s="11">
        <f t="shared" si="67"/>
        <v>0</v>
      </c>
      <c r="X135" s="11">
        <f t="shared" si="68"/>
        <v>4.4248550428981073</v>
      </c>
      <c r="Y135" s="11">
        <f>IFERROR(L135/K135,0)</f>
        <v>3.7927328939126634</v>
      </c>
      <c r="Z135" s="9">
        <f t="shared" si="69"/>
        <v>10.668957630576323</v>
      </c>
      <c r="AA135" s="9">
        <f t="shared" si="70"/>
        <v>2.2857142857142856</v>
      </c>
      <c r="AB135" s="10">
        <f t="shared" si="71"/>
        <v>63.803220051948053</v>
      </c>
      <c r="AC135" s="9">
        <f t="shared" si="72"/>
        <v>8.3832433448620378</v>
      </c>
      <c r="AD135" s="8">
        <f t="shared" si="73"/>
        <v>6631.0311688311695</v>
      </c>
      <c r="AE135" s="7">
        <f t="shared" si="74"/>
        <v>234.00908994805198</v>
      </c>
    </row>
    <row r="136" spans="1:31" x14ac:dyDescent="0.25">
      <c r="A136" s="22">
        <f t="shared" ca="1" si="61"/>
        <v>46182</v>
      </c>
      <c r="B136" s="21" t="s">
        <v>2</v>
      </c>
      <c r="C136" s="20" t="s">
        <v>1</v>
      </c>
      <c r="D136" s="4" t="s">
        <v>28</v>
      </c>
      <c r="E136" s="3" t="str">
        <f>VLOOKUP(D136,'[1]ANALISIS (NEW)'!C:E,3,FALSE)</f>
        <v>5/16 HOSE &amp; 5/8inTUBE CO NVOLUTED SL</v>
      </c>
      <c r="F136" s="19" t="str">
        <f>VLOOKUP(D136,'[1]ANALISIS (NEW)'!C:AX,48,FALSE)</f>
        <v>DELFINGEN US INC</v>
      </c>
      <c r="G136" s="15" t="str">
        <f>VLOOKUP(D:D,'[1]ANALISIS (NEW)'!C:BY,75,FALSE)</f>
        <v>MM</v>
      </c>
      <c r="H136" s="18" t="str">
        <f>VLOOKUP(D136,'[1]ANALISIS (NEW)'!C:BF,49,FALSE)</f>
        <v xml:space="preserve">US </v>
      </c>
      <c r="I136" s="17">
        <f>VLOOKUP(D136,'[1]ANALISIS (NEW)'!C:BF,50,FALSE)</f>
        <v>9</v>
      </c>
      <c r="J136" s="16">
        <f>VLOOKUP(D136,'[1]ANALISIS (NEW)'!C:BG,57,FALSE)*1000</f>
        <v>0.23</v>
      </c>
      <c r="K136" s="15">
        <f>VLOOKUP(D136,'[1]ANALISIS (NEW)'!C:BF,56,FALSE)</f>
        <v>404.67272727272734</v>
      </c>
      <c r="L136" s="14">
        <v>0</v>
      </c>
      <c r="M136" s="14">
        <f>VLOOKUP(D136,'[1]Inv Sem 23 pzas '!A:F,2,FALSE)/1000</f>
        <v>0</v>
      </c>
      <c r="N136" s="14">
        <f>VLOOKUP(D136,'[1]Inv Sem 23 pzas '!A:F,3,FALSE)/1000</f>
        <v>0</v>
      </c>
      <c r="O136" s="14">
        <f>VLOOKUP(D136,'[1]Inv Sem 23 pzas '!A:F,4,FALSE)/1000</f>
        <v>1889.85</v>
      </c>
      <c r="P136" s="14">
        <f>VLOOKUP(D136,'[1]Inv Sem 23 pzas '!A:F,5,FALSE)</f>
        <v>0</v>
      </c>
      <c r="Q136" s="14">
        <f>VLOOKUP(D136,'[1]Inv Sem 23 pzas '!A:F,6,FALSE)/1000</f>
        <v>0</v>
      </c>
      <c r="R136" s="13">
        <f t="shared" si="62"/>
        <v>1889.85</v>
      </c>
      <c r="S136" s="12">
        <f t="shared" si="63"/>
        <v>434.66550000000001</v>
      </c>
      <c r="T136" s="11">
        <f t="shared" si="64"/>
        <v>0</v>
      </c>
      <c r="U136" s="11">
        <f t="shared" si="65"/>
        <v>0</v>
      </c>
      <c r="V136" s="11">
        <f t="shared" si="66"/>
        <v>4.6700700903086663</v>
      </c>
      <c r="W136" s="11">
        <f t="shared" si="67"/>
        <v>0</v>
      </c>
      <c r="X136" s="11">
        <f t="shared" si="68"/>
        <v>0</v>
      </c>
      <c r="Y136" s="11">
        <f t="shared" ref="Y136:Y162" si="75">L136/K136</f>
        <v>0</v>
      </c>
      <c r="Z136" s="9">
        <f t="shared" si="69"/>
        <v>4.6700700903086663</v>
      </c>
      <c r="AA136" s="9">
        <f t="shared" si="70"/>
        <v>2.2857142857142856</v>
      </c>
      <c r="AB136" s="10">
        <f t="shared" si="71"/>
        <v>212.74223376623382</v>
      </c>
      <c r="AC136" s="9">
        <f t="shared" si="72"/>
        <v>2.3843558045943807</v>
      </c>
      <c r="AD136" s="8">
        <f t="shared" si="73"/>
        <v>964.88376623376621</v>
      </c>
      <c r="AE136" s="7">
        <f t="shared" si="74"/>
        <v>221.92326623376624</v>
      </c>
    </row>
    <row r="137" spans="1:31" x14ac:dyDescent="0.25">
      <c r="A137" s="22">
        <f t="shared" ca="1" si="61"/>
        <v>46182</v>
      </c>
      <c r="B137" s="21" t="s">
        <v>2</v>
      </c>
      <c r="C137" s="20" t="s">
        <v>1</v>
      </c>
      <c r="D137" s="4" t="s">
        <v>27</v>
      </c>
      <c r="E137" s="3" t="str">
        <f>VLOOKUP(D137,'[1]ANALISIS (NEW)'!C:E,3,FALSE)</f>
        <v>O-RING HNBR 19X16.50X2.4 3</v>
      </c>
      <c r="F137" s="19" t="str">
        <f>VLOOKUP(D137,'[1]ANALISIS (NEW)'!C:AX,48,FALSE)</f>
        <v>PARKER HANNIFIN CORP</v>
      </c>
      <c r="G137" s="15" t="str">
        <f>VLOOKUP(D:D,'[1]ANALISIS (NEW)'!C:BY,75,FALSE)</f>
        <v>EA</v>
      </c>
      <c r="H137" s="18" t="str">
        <f>VLOOKUP(D137,'[1]ANALISIS (NEW)'!C:BF,49,FALSE)</f>
        <v xml:space="preserve">US </v>
      </c>
      <c r="I137" s="17">
        <f>VLOOKUP(D137,'[1]ANALISIS (NEW)'!C:BF,50,FALSE)</f>
        <v>9</v>
      </c>
      <c r="J137" s="16">
        <f>VLOOKUP(D137,'[1]ANALISIS (NEW)'!C:BG,57,FALSE)</f>
        <v>6.5599999999999992E-2</v>
      </c>
      <c r="K137" s="15">
        <f>VLOOKUP(D137,'[1]ANALISIS (NEW)'!C:BF,56,FALSE)</f>
        <v>868.18181818181813</v>
      </c>
      <c r="L137" s="14">
        <v>0</v>
      </c>
      <c r="M137" s="14">
        <f>VLOOKUP(D137,'[1]Inv Sem 23 pzas '!A:F,2,FALSE)</f>
        <v>0</v>
      </c>
      <c r="N137" s="14">
        <f>VLOOKUP(D137,'[1]Inv Sem 23 pzas '!A:F,3,FALSE)</f>
        <v>0</v>
      </c>
      <c r="O137" s="14">
        <f>VLOOKUP(D137,'[1]Inv Sem 23 pzas '!A:F,4,FALSE)</f>
        <v>2519</v>
      </c>
      <c r="P137" s="14">
        <f>VLOOKUP(D137,'[1]Inv Sem 23 pzas '!A:F,5,FALSE)</f>
        <v>0</v>
      </c>
      <c r="Q137" s="14">
        <f>VLOOKUP(D137,'[1]Inv Sem 23 pzas '!A:F,6,FALSE)</f>
        <v>2500</v>
      </c>
      <c r="R137" s="13">
        <f t="shared" si="62"/>
        <v>5019</v>
      </c>
      <c r="S137" s="12">
        <f t="shared" si="63"/>
        <v>329.24639999999994</v>
      </c>
      <c r="T137" s="11">
        <f t="shared" si="64"/>
        <v>0</v>
      </c>
      <c r="U137" s="11">
        <f t="shared" si="65"/>
        <v>0</v>
      </c>
      <c r="V137" s="11">
        <f t="shared" si="66"/>
        <v>2.9014659685863875</v>
      </c>
      <c r="W137" s="11">
        <f t="shared" si="67"/>
        <v>0</v>
      </c>
      <c r="X137" s="11">
        <f t="shared" si="68"/>
        <v>2.8795811518324608</v>
      </c>
      <c r="Y137" s="11">
        <f t="shared" si="75"/>
        <v>0</v>
      </c>
      <c r="Z137" s="9">
        <f t="shared" si="69"/>
        <v>5.7810471204188483</v>
      </c>
      <c r="AA137" s="9">
        <f t="shared" si="70"/>
        <v>2.2857142857142856</v>
      </c>
      <c r="AB137" s="10">
        <f t="shared" si="71"/>
        <v>130.1776623376623</v>
      </c>
      <c r="AC137" s="9">
        <f t="shared" si="72"/>
        <v>3.4953328347045627</v>
      </c>
      <c r="AD137" s="8">
        <f t="shared" si="73"/>
        <v>3034.5844155844156</v>
      </c>
      <c r="AE137" s="7">
        <f t="shared" si="74"/>
        <v>199.06873766233764</v>
      </c>
    </row>
    <row r="138" spans="1:31" x14ac:dyDescent="0.25">
      <c r="A138" s="22">
        <f t="shared" ca="1" si="61"/>
        <v>46182</v>
      </c>
      <c r="B138" s="21" t="s">
        <v>2</v>
      </c>
      <c r="C138" s="20" t="s">
        <v>1</v>
      </c>
      <c r="D138" s="4" t="s">
        <v>26</v>
      </c>
      <c r="E138" s="3" t="str">
        <f>VLOOKUP(D138,'[1]ANALISIS (NEW)'!C:E,3,FALSE)</f>
        <v>CORE ASSEMBLY - A/C CHAR GE VALVE</v>
      </c>
      <c r="F138" s="19" t="str">
        <f>VLOOKUP(D138,'[1]ANALISIS (NEW)'!C:AX,48,FALSE)</f>
        <v>SCHRADER BRIDGEPORT INTE</v>
      </c>
      <c r="G138" s="15" t="str">
        <f>VLOOKUP(D:D,'[1]ANALISIS (NEW)'!C:BY,75,FALSE)</f>
        <v>EA</v>
      </c>
      <c r="H138" s="18" t="str">
        <f>VLOOKUP(D138,'[1]ANALISIS (NEW)'!C:BF,49,FALSE)</f>
        <v xml:space="preserve">US </v>
      </c>
      <c r="I138" s="17">
        <f>VLOOKUP(D138,'[1]ANALISIS (NEW)'!C:BF,50,FALSE)</f>
        <v>9</v>
      </c>
      <c r="J138" s="16">
        <f>VLOOKUP(D138,'[1]ANALISIS (NEW)'!C:BG,57,FALSE)</f>
        <v>7.8E-2</v>
      </c>
      <c r="K138" s="15">
        <f>VLOOKUP(D138,'[1]ANALISIS (NEW)'!C:BF,56,FALSE)</f>
        <v>217.63636363636363</v>
      </c>
      <c r="L138" s="14">
        <v>0</v>
      </c>
      <c r="M138" s="14">
        <f>VLOOKUP(D138,'[1]Inv Sem 23 pzas '!A:F,2,FALSE)</f>
        <v>0</v>
      </c>
      <c r="N138" s="14">
        <f>VLOOKUP(D138,'[1]Inv Sem 23 pzas '!A:F,3,FALSE)</f>
        <v>0</v>
      </c>
      <c r="O138" s="14">
        <f>VLOOKUP(D138,'[1]Inv Sem 23 pzas '!A:F,4,FALSE)</f>
        <v>2874</v>
      </c>
      <c r="P138" s="14">
        <f>VLOOKUP(D138,'[1]Inv Sem 23 pzas '!A:F,5,FALSE)</f>
        <v>0</v>
      </c>
      <c r="Q138" s="14">
        <f>VLOOKUP(D138,'[1]Inv Sem 23 pzas '!A:F,6,FALSE)</f>
        <v>0</v>
      </c>
      <c r="R138" s="13">
        <f t="shared" si="62"/>
        <v>2874</v>
      </c>
      <c r="S138" s="12">
        <f t="shared" si="63"/>
        <v>224.172</v>
      </c>
      <c r="T138" s="11">
        <f t="shared" si="64"/>
        <v>0</v>
      </c>
      <c r="U138" s="11">
        <f t="shared" si="65"/>
        <v>0</v>
      </c>
      <c r="V138" s="11">
        <f t="shared" si="66"/>
        <v>13.205513784461154</v>
      </c>
      <c r="W138" s="11">
        <f t="shared" si="67"/>
        <v>0</v>
      </c>
      <c r="X138" s="11">
        <f t="shared" si="68"/>
        <v>0</v>
      </c>
      <c r="Y138" s="11">
        <f t="shared" si="75"/>
        <v>0</v>
      </c>
      <c r="Z138" s="9">
        <f t="shared" si="69"/>
        <v>13.205513784461154</v>
      </c>
      <c r="AA138" s="9">
        <f t="shared" si="70"/>
        <v>2.2857142857142856</v>
      </c>
      <c r="AB138" s="10">
        <f t="shared" si="71"/>
        <v>38.80145454545454</v>
      </c>
      <c r="AC138" s="9">
        <f t="shared" si="72"/>
        <v>10.919799498746869</v>
      </c>
      <c r="AD138" s="8">
        <f t="shared" si="73"/>
        <v>2376.545454545455</v>
      </c>
      <c r="AE138" s="7">
        <f t="shared" si="74"/>
        <v>185.37054545454549</v>
      </c>
    </row>
    <row r="139" spans="1:31" x14ac:dyDescent="0.25">
      <c r="A139" s="22">
        <f t="shared" ca="1" si="61"/>
        <v>46182</v>
      </c>
      <c r="B139" s="21" t="s">
        <v>2</v>
      </c>
      <c r="C139" s="20" t="s">
        <v>1</v>
      </c>
      <c r="D139" s="4" t="s">
        <v>25</v>
      </c>
      <c r="E139" s="3" t="str">
        <f>VLOOKUP(D139,'[1]ANALISIS (NEW)'!C:E,3,FALSE)</f>
        <v>SLV NVH RUBBER NON SLT EPDM D27_T4_L0060</v>
      </c>
      <c r="F139" s="19" t="str">
        <f>VLOOKUP(D139,'[1]ANALISIS (NEW)'!C:AX,48,FALSE)</f>
        <v>COLONIAL DPP LLC</v>
      </c>
      <c r="G139" s="15" t="str">
        <f>VLOOKUP(D:D,'[1]ANALISIS (NEW)'!C:BY,75,FALSE)</f>
        <v>EA</v>
      </c>
      <c r="H139" s="18" t="str">
        <f>VLOOKUP(D139,'[1]ANALISIS (NEW)'!C:BF,49,FALSE)</f>
        <v xml:space="preserve">US </v>
      </c>
      <c r="I139" s="17">
        <f>VLOOKUP(D139,'[1]ANALISIS (NEW)'!C:BF,50,FALSE)</f>
        <v>9</v>
      </c>
      <c r="J139" s="16">
        <f>VLOOKUP(D139,'[1]ANALISIS (NEW)'!C:BG,57,FALSE)</f>
        <v>0.18619999999999998</v>
      </c>
      <c r="K139" s="15">
        <f>VLOOKUP(D139,'[1]ANALISIS (NEW)'!C:BF,56,FALSE)+1</f>
        <v>107.36363636363636</v>
      </c>
      <c r="L139" s="14">
        <v>0</v>
      </c>
      <c r="M139" s="14">
        <f>VLOOKUP(D139,'[1]Inv Sem 23 pzas '!A:F,2,FALSE)</f>
        <v>0</v>
      </c>
      <c r="N139" s="14">
        <f>VLOOKUP(D139,'[1]Inv Sem 23 pzas '!A:F,3,FALSE)</f>
        <v>0</v>
      </c>
      <c r="O139" s="14">
        <f>VLOOKUP(D139,'[1]Inv Sem 23 pzas '!A:F,4,FALSE)</f>
        <v>-351</v>
      </c>
      <c r="P139" s="14">
        <f>VLOOKUP(D139,'[1]Inv Sem 23 pzas '!A:F,5,FALSE)</f>
        <v>0</v>
      </c>
      <c r="Q139" s="14">
        <f>VLOOKUP(D139,'[1]Inv Sem 23 pzas '!A:F,6,FALSE)</f>
        <v>1500</v>
      </c>
      <c r="R139" s="13">
        <f t="shared" si="62"/>
        <v>1149</v>
      </c>
      <c r="S139" s="12">
        <f t="shared" si="63"/>
        <v>213.94379999999998</v>
      </c>
      <c r="T139" s="11">
        <f t="shared" si="64"/>
        <v>0</v>
      </c>
      <c r="U139" s="11">
        <f t="shared" si="65"/>
        <v>0</v>
      </c>
      <c r="V139" s="11">
        <f t="shared" si="66"/>
        <v>-3.2692633361558001</v>
      </c>
      <c r="W139" s="11">
        <f t="shared" si="67"/>
        <v>0</v>
      </c>
      <c r="X139" s="11">
        <f t="shared" si="68"/>
        <v>13.971210838272651</v>
      </c>
      <c r="Y139" s="11">
        <f t="shared" si="75"/>
        <v>0</v>
      </c>
      <c r="Z139" s="9">
        <f t="shared" si="69"/>
        <v>10.70194750211685</v>
      </c>
      <c r="AA139" s="9">
        <f t="shared" si="70"/>
        <v>2.2857142857142856</v>
      </c>
      <c r="AB139" s="10">
        <f t="shared" si="71"/>
        <v>45.693963636363627</v>
      </c>
      <c r="AC139" s="9">
        <f t="shared" si="72"/>
        <v>8.4162332164025635</v>
      </c>
      <c r="AD139" s="8">
        <f t="shared" si="73"/>
        <v>903.59740259740249</v>
      </c>
      <c r="AE139" s="7">
        <f t="shared" si="74"/>
        <v>168.24983636363632</v>
      </c>
    </row>
    <row r="140" spans="1:31" x14ac:dyDescent="0.25">
      <c r="A140" s="22">
        <f t="shared" ca="1" si="61"/>
        <v>46182</v>
      </c>
      <c r="B140" s="21" t="s">
        <v>2</v>
      </c>
      <c r="C140" s="20" t="s">
        <v>1</v>
      </c>
      <c r="D140" s="4" t="s">
        <v>24</v>
      </c>
      <c r="E140" s="3" t="str">
        <f>VLOOKUP(D140,'[1]ANALISIS (NEW)'!C:E,3,FALSE)</f>
        <v>SHIPPING CAP (BULK)</v>
      </c>
      <c r="F140" s="19" t="str">
        <f>VLOOKUP(D140,'[1]ANALISIS (NEW)'!C:AX,48,FALSE)</f>
        <v>POLYMER MOLDING INC</v>
      </c>
      <c r="G140" s="15" t="str">
        <f>VLOOKUP(D:D,'[1]ANALISIS (NEW)'!C:BY,75,FALSE)</f>
        <v>EA</v>
      </c>
      <c r="H140" s="18" t="str">
        <f>VLOOKUP(D140,'[1]ANALISIS (NEW)'!C:BF,49,FALSE)</f>
        <v xml:space="preserve">US </v>
      </c>
      <c r="I140" s="17">
        <f>VLOOKUP(D140,'[1]ANALISIS (NEW)'!C:BF,50,FALSE)</f>
        <v>9</v>
      </c>
      <c r="J140" s="16">
        <f>VLOOKUP(D140,'[1]ANALISIS (NEW)'!C:BG,57,FALSE)</f>
        <v>1.06E-2</v>
      </c>
      <c r="K140" s="15">
        <f>VLOOKUP(D140,'[1]ANALISIS (NEW)'!C:BF,56,FALSE)</f>
        <v>1858.3636363636363</v>
      </c>
      <c r="L140" s="14">
        <v>0</v>
      </c>
      <c r="M140" s="14">
        <f>VLOOKUP(D140,'[1]Inv Sem 23 pzas '!A:F,2,FALSE)</f>
        <v>0</v>
      </c>
      <c r="N140" s="14">
        <f>VLOOKUP(D140,'[1]Inv Sem 23 pzas '!A:F,3,FALSE)</f>
        <v>0</v>
      </c>
      <c r="O140" s="14">
        <f>VLOOKUP(D140,'[1]Inv Sem 23 pzas '!A:F,4,FALSE)</f>
        <v>11910</v>
      </c>
      <c r="P140" s="14">
        <f>VLOOKUP(D140,'[1]Inv Sem 23 pzas '!A:F,5,FALSE)</f>
        <v>0</v>
      </c>
      <c r="Q140" s="14">
        <f>VLOOKUP(D140,'[1]Inv Sem 23 pzas '!A:F,6,FALSE)</f>
        <v>7481</v>
      </c>
      <c r="R140" s="13">
        <f t="shared" si="62"/>
        <v>19391</v>
      </c>
      <c r="S140" s="12">
        <f t="shared" si="63"/>
        <v>205.5446</v>
      </c>
      <c r="T140" s="11">
        <f t="shared" si="64"/>
        <v>0</v>
      </c>
      <c r="U140" s="11">
        <f t="shared" si="65"/>
        <v>0</v>
      </c>
      <c r="V140" s="11">
        <f t="shared" si="66"/>
        <v>6.4088641033167013</v>
      </c>
      <c r="W140" s="11">
        <f t="shared" si="67"/>
        <v>0</v>
      </c>
      <c r="X140" s="11">
        <f t="shared" si="68"/>
        <v>4.0255845807650914</v>
      </c>
      <c r="Y140" s="11">
        <f t="shared" si="75"/>
        <v>0</v>
      </c>
      <c r="Z140" s="9">
        <f t="shared" si="69"/>
        <v>10.434448684081794</v>
      </c>
      <c r="AA140" s="9">
        <f t="shared" si="70"/>
        <v>2.2857142857142856</v>
      </c>
      <c r="AB140" s="10">
        <f t="shared" si="71"/>
        <v>45.025496103896096</v>
      </c>
      <c r="AC140" s="9">
        <f t="shared" si="72"/>
        <v>8.1487343983675089</v>
      </c>
      <c r="AD140" s="8">
        <f t="shared" si="73"/>
        <v>15143.311688311691</v>
      </c>
      <c r="AE140" s="7">
        <f t="shared" si="74"/>
        <v>160.51910389610393</v>
      </c>
    </row>
    <row r="141" spans="1:31" x14ac:dyDescent="0.25">
      <c r="A141" s="22">
        <f t="shared" ca="1" si="61"/>
        <v>46182</v>
      </c>
      <c r="B141" s="21" t="s">
        <v>2</v>
      </c>
      <c r="C141" s="20" t="s">
        <v>1</v>
      </c>
      <c r="D141" s="4" t="s">
        <v>23</v>
      </c>
      <c r="E141" s="3" t="str">
        <f>VLOOKUP(D141,'[1]ANALISIS (NEW)'!C:E,3,FALSE)</f>
        <v>HOSE-A/C FORMED-BARRIER GALAXY 3/4 4868</v>
      </c>
      <c r="F141" s="19" t="str">
        <f>VLOOKUP(D141,'[1]ANALISIS (NEW)'!C:AX,48,FALSE)</f>
        <v>CONTITECH NORTH AMERICA,</v>
      </c>
      <c r="G141" s="15" t="str">
        <f>VLOOKUP(D:D,'[1]ANALISIS (NEW)'!C:BY,75,FALSE)</f>
        <v>EA</v>
      </c>
      <c r="H141" s="18" t="str">
        <f>VLOOKUP(D141,'[1]ANALISIS (NEW)'!C:BF,49,FALSE)</f>
        <v xml:space="preserve">US </v>
      </c>
      <c r="I141" s="17">
        <f>VLOOKUP(D141,'[1]ANALISIS (NEW)'!C:BF,50,FALSE)</f>
        <v>9</v>
      </c>
      <c r="J141" s="16">
        <f>VLOOKUP(D141,'[1]ANALISIS (NEW)'!C:BG,57,FALSE)</f>
        <v>3.7170000000000001</v>
      </c>
      <c r="K141" s="15">
        <f>VLOOKUP(D141,'[1]ANALISIS (NEW)'!C:BF,56,FALSE)</f>
        <v>4.0909090909090908</v>
      </c>
      <c r="L141" s="14">
        <v>0</v>
      </c>
      <c r="M141" s="14">
        <f>VLOOKUP(D141,'[1]Inv Sem 23 pzas '!A:F,2,FALSE)</f>
        <v>0</v>
      </c>
      <c r="N141" s="14">
        <f>VLOOKUP(D141,'[1]Inv Sem 23 pzas '!A:F,3,FALSE)</f>
        <v>0</v>
      </c>
      <c r="O141" s="14">
        <f>VLOOKUP(D141,'[1]Inv Sem 23 pzas '!A:F,4,FALSE)</f>
        <v>0</v>
      </c>
      <c r="P141" s="14">
        <f>VLOOKUP(D141,'[1]Inv Sem 23 pzas '!A:F,5,FALSE)</f>
        <v>0</v>
      </c>
      <c r="Q141" s="14">
        <f>VLOOKUP(D141,'[1]Inv Sem 23 pzas '!A:F,6,FALSE)</f>
        <v>50</v>
      </c>
      <c r="R141" s="13">
        <f t="shared" si="62"/>
        <v>50</v>
      </c>
      <c r="S141" s="12">
        <f t="shared" si="63"/>
        <v>185.85</v>
      </c>
      <c r="T141" s="11">
        <f t="shared" si="64"/>
        <v>0</v>
      </c>
      <c r="U141" s="11">
        <f t="shared" si="65"/>
        <v>0</v>
      </c>
      <c r="V141" s="11">
        <f t="shared" si="66"/>
        <v>0</v>
      </c>
      <c r="W141" s="11">
        <f t="shared" si="67"/>
        <v>0</v>
      </c>
      <c r="X141" s="11">
        <f t="shared" si="68"/>
        <v>12.222222222222223</v>
      </c>
      <c r="Y141" s="11">
        <f t="shared" si="75"/>
        <v>0</v>
      </c>
      <c r="Z141" s="9">
        <f t="shared" si="69"/>
        <v>12.222222222222223</v>
      </c>
      <c r="AA141" s="9">
        <f t="shared" si="70"/>
        <v>2.2857142857142856</v>
      </c>
      <c r="AB141" s="10">
        <f t="shared" si="71"/>
        <v>34.756363636363638</v>
      </c>
      <c r="AC141" s="9">
        <f t="shared" si="72"/>
        <v>9.9365079365079367</v>
      </c>
      <c r="AD141" s="8">
        <f t="shared" si="73"/>
        <v>40.649350649350652</v>
      </c>
      <c r="AE141" s="7">
        <f t="shared" si="74"/>
        <v>151.09363636363636</v>
      </c>
    </row>
    <row r="142" spans="1:31" x14ac:dyDescent="0.25">
      <c r="A142" s="22">
        <f t="shared" ca="1" si="61"/>
        <v>46182</v>
      </c>
      <c r="B142" s="21" t="s">
        <v>2</v>
      </c>
      <c r="C142" s="20" t="s">
        <v>1</v>
      </c>
      <c r="D142" s="4" t="s">
        <v>22</v>
      </c>
      <c r="E142" s="3" t="str">
        <f>VLOOKUP(D142,'[1]ANALISIS (NEW)'!C:E,3,FALSE)</f>
        <v>Sleeve-Abrasive Protectn Polypropylene S</v>
      </c>
      <c r="F142" s="19" t="str">
        <f>VLOOKUP(D142,'[1]ANALISIS (NEW)'!C:AX,48,FALSE)</f>
        <v>DELFINGEN US INC</v>
      </c>
      <c r="G142" s="15" t="str">
        <f>VLOOKUP(D:D,'[1]ANALISIS (NEW)'!C:BY,75,FALSE)</f>
        <v>EA</v>
      </c>
      <c r="H142" s="18" t="str">
        <f>VLOOKUP(D142,'[1]ANALISIS (NEW)'!C:BF,49,FALSE)</f>
        <v xml:space="preserve">US </v>
      </c>
      <c r="I142" s="17">
        <f>VLOOKUP(D142,'[1]ANALISIS (NEW)'!C:BF,50,FALSE)</f>
        <v>9</v>
      </c>
      <c r="J142" s="16">
        <f>VLOOKUP(D142,'[1]ANALISIS (NEW)'!C:BG,57,FALSE)</f>
        <v>3.1899999999999998E-2</v>
      </c>
      <c r="K142" s="15">
        <f>VLOOKUP(D142,'[1]ANALISIS (NEW)'!C:BF,56,FALSE)+0.1</f>
        <v>869.28181818181815</v>
      </c>
      <c r="L142" s="14">
        <v>0</v>
      </c>
      <c r="M142" s="14">
        <f>VLOOKUP(D142,'[1]Inv Sem 23 pzas '!A:F,2,FALSE)</f>
        <v>0</v>
      </c>
      <c r="N142" s="14">
        <f>VLOOKUP(D142,'[1]Inv Sem 23 pzas '!A:F,3,FALSE)</f>
        <v>0</v>
      </c>
      <c r="O142" s="14">
        <f>VLOOKUP(D142,'[1]Inv Sem 23 pzas '!A:F,4,FALSE)</f>
        <v>-3420</v>
      </c>
      <c r="P142" s="14">
        <f>VLOOKUP(D142,'[1]Inv Sem 23 pzas '!A:F,5,FALSE)</f>
        <v>0</v>
      </c>
      <c r="Q142" s="14">
        <f>VLOOKUP(D142,'[1]Inv Sem 23 pzas '!A:F,6,FALSE)</f>
        <v>7500</v>
      </c>
      <c r="R142" s="13">
        <f t="shared" si="62"/>
        <v>4080</v>
      </c>
      <c r="S142" s="12">
        <f t="shared" si="63"/>
        <v>130.15199999999999</v>
      </c>
      <c r="T142" s="11">
        <f t="shared" si="64"/>
        <v>0</v>
      </c>
      <c r="U142" s="11">
        <f t="shared" si="65"/>
        <v>0</v>
      </c>
      <c r="V142" s="11">
        <f t="shared" si="66"/>
        <v>-3.9342822183411594</v>
      </c>
      <c r="W142" s="11">
        <f t="shared" si="67"/>
        <v>0</v>
      </c>
      <c r="X142" s="11">
        <f t="shared" si="68"/>
        <v>8.6278118823271051</v>
      </c>
      <c r="Y142" s="11">
        <f t="shared" si="75"/>
        <v>0</v>
      </c>
      <c r="Z142" s="9">
        <f t="shared" si="69"/>
        <v>4.6935296639859452</v>
      </c>
      <c r="AA142" s="9">
        <f t="shared" si="70"/>
        <v>2.2857142857142856</v>
      </c>
      <c r="AB142" s="10">
        <f t="shared" si="71"/>
        <v>63.383062857142846</v>
      </c>
      <c r="AC142" s="9">
        <f t="shared" si="72"/>
        <v>2.4078153782716596</v>
      </c>
      <c r="AD142" s="8">
        <f t="shared" si="73"/>
        <v>2093.0701298701306</v>
      </c>
      <c r="AE142" s="7">
        <f t="shared" si="74"/>
        <v>66.768937142857155</v>
      </c>
    </row>
    <row r="143" spans="1:31" x14ac:dyDescent="0.25">
      <c r="A143" s="22">
        <f t="shared" ca="1" si="61"/>
        <v>46182</v>
      </c>
      <c r="B143" s="21" t="s">
        <v>2</v>
      </c>
      <c r="C143" s="20" t="s">
        <v>1</v>
      </c>
      <c r="D143" s="4" t="s">
        <v>21</v>
      </c>
      <c r="E143" s="3" t="str">
        <f>VLOOKUP(D143,'[1]ANALISIS (NEW)'!C:E,3,FALSE)</f>
        <v>CAP-A/C  COND MANF 1/2in</v>
      </c>
      <c r="F143" s="19" t="str">
        <f>VLOOKUP(D143,'[1]ANALISIS (NEW)'!C:AX,48,FALSE)</f>
        <v>POLYMER MOLDING INC</v>
      </c>
      <c r="G143" s="15" t="str">
        <f>VLOOKUP(D:D,'[1]ANALISIS (NEW)'!C:BY,75,FALSE)</f>
        <v>EA</v>
      </c>
      <c r="H143" s="18" t="str">
        <f>VLOOKUP(D143,'[1]ANALISIS (NEW)'!C:BF,49,FALSE)</f>
        <v xml:space="preserve">US </v>
      </c>
      <c r="I143" s="17">
        <f>VLOOKUP(D143,'[1]ANALISIS (NEW)'!C:BF,50,FALSE)</f>
        <v>9</v>
      </c>
      <c r="J143" s="16">
        <f>VLOOKUP(D143,'[1]ANALISIS (NEW)'!C:BG,57,FALSE)</f>
        <v>3.0899999999999997E-2</v>
      </c>
      <c r="K143" s="15">
        <f>VLOOKUP(D143,'[1]ANALISIS (NEW)'!C:BF,56,FALSE)</f>
        <v>50.090909090909093</v>
      </c>
      <c r="L143" s="14">
        <v>0</v>
      </c>
      <c r="M143" s="14">
        <f>VLOOKUP(D143,'[1]Inv Sem 23 pzas '!A:F,2,FALSE)</f>
        <v>0</v>
      </c>
      <c r="N143" s="14">
        <f>VLOOKUP(D143,'[1]Inv Sem 23 pzas '!A:F,3,FALSE)</f>
        <v>0</v>
      </c>
      <c r="O143" s="14">
        <f>VLOOKUP(D143,'[1]Inv Sem 23 pzas '!A:F,4,FALSE)</f>
        <v>515</v>
      </c>
      <c r="P143" s="14">
        <f>VLOOKUP(D143,'[1]Inv Sem 23 pzas '!A:F,5,FALSE)</f>
        <v>0</v>
      </c>
      <c r="Q143" s="14">
        <f>VLOOKUP(D143,'[1]Inv Sem 23 pzas '!A:F,6,FALSE)</f>
        <v>910</v>
      </c>
      <c r="R143" s="13">
        <f t="shared" si="62"/>
        <v>1425</v>
      </c>
      <c r="S143" s="12">
        <f t="shared" si="63"/>
        <v>44.032499999999999</v>
      </c>
      <c r="T143" s="11">
        <f t="shared" si="64"/>
        <v>0</v>
      </c>
      <c r="U143" s="11">
        <f t="shared" si="65"/>
        <v>0</v>
      </c>
      <c r="V143" s="11">
        <f t="shared" si="66"/>
        <v>10.28130671506352</v>
      </c>
      <c r="W143" s="11">
        <f t="shared" si="67"/>
        <v>0</v>
      </c>
      <c r="X143" s="11">
        <f t="shared" si="68"/>
        <v>18.166969147005442</v>
      </c>
      <c r="Y143" s="11">
        <f t="shared" si="75"/>
        <v>0</v>
      </c>
      <c r="Z143" s="9">
        <f t="shared" si="69"/>
        <v>28.448275862068961</v>
      </c>
      <c r="AA143" s="9">
        <f t="shared" si="70"/>
        <v>2.2857142857142856</v>
      </c>
      <c r="AB143" s="10">
        <f t="shared" si="71"/>
        <v>3.53784935064935</v>
      </c>
      <c r="AC143" s="9">
        <f t="shared" si="72"/>
        <v>26.162561576354676</v>
      </c>
      <c r="AD143" s="8">
        <f t="shared" si="73"/>
        <v>1310.5064935064934</v>
      </c>
      <c r="AE143" s="7">
        <f t="shared" si="74"/>
        <v>40.494650649350639</v>
      </c>
    </row>
    <row r="144" spans="1:31" x14ac:dyDescent="0.25">
      <c r="A144" s="22">
        <f t="shared" ca="1" si="61"/>
        <v>46182</v>
      </c>
      <c r="B144" s="21" t="s">
        <v>2</v>
      </c>
      <c r="C144" s="20" t="s">
        <v>1</v>
      </c>
      <c r="D144" s="4" t="s">
        <v>20</v>
      </c>
      <c r="E144" s="3" t="str">
        <f>VLOOKUP(D144,'[1]ANALISIS (NEW)'!C:E,3,FALSE)</f>
        <v>Label - A/C 3M 7874 Thermal Polyeste</v>
      </c>
      <c r="F144" s="19" t="str">
        <f>VLOOKUP(D144,'[1]ANALISIS (NEW)'!C:AX,48,FALSE)</f>
        <v>GENERAL LABELS AND PRINT</v>
      </c>
      <c r="G144" s="15" t="str">
        <f>VLOOKUP(D:D,'[1]ANALISIS (NEW)'!C:BY,75,FALSE)</f>
        <v>EA</v>
      </c>
      <c r="H144" s="18" t="str">
        <f>VLOOKUP(D144,'[1]ANALISIS (NEW)'!C:BF,49,FALSE)</f>
        <v xml:space="preserve">US </v>
      </c>
      <c r="I144" s="17">
        <f>VLOOKUP(D144,'[1]ANALISIS (NEW)'!C:BF,50,FALSE)</f>
        <v>9</v>
      </c>
      <c r="J144" s="16">
        <f>VLOOKUP(D144,'[1]ANALISIS (NEW)'!C:BG,57,FALSE)</f>
        <v>5.2399999999999995E-2</v>
      </c>
      <c r="K144" s="15">
        <f>VLOOKUP(D144,'[1]ANALISIS (NEW)'!C:BF,56,FALSE)</f>
        <v>30591.090909090908</v>
      </c>
      <c r="L144" s="14">
        <v>70000</v>
      </c>
      <c r="M144" s="14">
        <f>VLOOKUP(D144,'[1]Inv Sem 23 pzas '!A:F,2,FALSE)/1000</f>
        <v>0</v>
      </c>
      <c r="N144" s="14">
        <f>VLOOKUP(D144,'[1]Inv Sem 23 pzas '!A:F,3,FALSE)/1000</f>
        <v>90</v>
      </c>
      <c r="O144" s="14">
        <f>VLOOKUP(D144,'[1]Inv Sem 23 pzas '!A:F,4,FALSE)/1000</f>
        <v>130.47499999999999</v>
      </c>
      <c r="P144" s="14">
        <f>VLOOKUP(D144,'[1]Inv Sem 23 pzas '!A:F,5,FALSE)</f>
        <v>0</v>
      </c>
      <c r="Q144" s="14">
        <f>VLOOKUP(D144,'[1]Inv Sem 23 pzas '!A:F,6,FALSE)/1000</f>
        <v>95</v>
      </c>
      <c r="R144" s="13">
        <f t="shared" si="62"/>
        <v>70315.475000000006</v>
      </c>
      <c r="S144" s="12">
        <f t="shared" si="63"/>
        <v>3684.53089</v>
      </c>
      <c r="T144" s="11">
        <f t="shared" si="64"/>
        <v>0</v>
      </c>
      <c r="U144" s="11">
        <f t="shared" si="65"/>
        <v>2.9420330339789955E-3</v>
      </c>
      <c r="V144" s="11">
        <f t="shared" si="66"/>
        <v>4.2651306678712165E-3</v>
      </c>
      <c r="W144" s="11">
        <f t="shared" si="67"/>
        <v>0</v>
      </c>
      <c r="X144" s="11">
        <f t="shared" si="68"/>
        <v>3.1054793136444953E-3</v>
      </c>
      <c r="Y144" s="11">
        <f t="shared" si="75"/>
        <v>2.2882479153169966</v>
      </c>
      <c r="Z144" s="9">
        <f t="shared" si="69"/>
        <v>2.2985605583324911</v>
      </c>
      <c r="AA144" s="9">
        <f t="shared" si="70"/>
        <v>2.2857142857142856</v>
      </c>
      <c r="AB144" s="10">
        <f t="shared" si="71"/>
        <v>3663.938659740259</v>
      </c>
      <c r="AC144" s="9">
        <f t="shared" si="72"/>
        <v>1.2846272618205479E-2</v>
      </c>
      <c r="AD144" s="8">
        <f t="shared" si="73"/>
        <v>392.98149350648907</v>
      </c>
      <c r="AE144" s="7">
        <f t="shared" si="74"/>
        <v>20.592230259740024</v>
      </c>
    </row>
    <row r="145" spans="1:31" x14ac:dyDescent="0.25">
      <c r="A145" s="22">
        <f t="shared" ca="1" si="61"/>
        <v>46182</v>
      </c>
      <c r="B145" s="21" t="s">
        <v>2</v>
      </c>
      <c r="C145" s="20" t="s">
        <v>1</v>
      </c>
      <c r="D145" s="4" t="s">
        <v>19</v>
      </c>
      <c r="E145" s="3" t="str">
        <f>VLOOKUP(D145,'[1]ANALISIS (NEW)'!C:E,3,FALSE)</f>
        <v>BRKT/CLIP-A/C LINE</v>
      </c>
      <c r="F145" s="19" t="str">
        <f>VLOOKUP(D145,'[1]ANALISIS (NEW)'!C:AX,48,FALSE)</f>
        <v>PRECISE TOOL &amp; DIE LIMIT</v>
      </c>
      <c r="G145" s="15" t="str">
        <f>VLOOKUP(D:D,'[1]ANALISIS (NEW)'!C:BY,75,FALSE)</f>
        <v>EA</v>
      </c>
      <c r="H145" s="18" t="str">
        <f>VLOOKUP(D145,'[1]ANALISIS (NEW)'!C:BF,49,FALSE)</f>
        <v xml:space="preserve">CA </v>
      </c>
      <c r="I145" s="17">
        <f>VLOOKUP(D145,'[1]ANALISIS (NEW)'!C:BF,50,FALSE)</f>
        <v>11</v>
      </c>
      <c r="J145" s="16">
        <f>VLOOKUP(D145,'[1]ANALISIS (NEW)'!C:BG,57,FALSE)</f>
        <v>0.86399999999999999</v>
      </c>
      <c r="K145" s="15">
        <f>VLOOKUP(D145,'[1]ANALISIS (NEW)'!C:BF,56,FALSE)+1</f>
        <v>1.1818181818181819</v>
      </c>
      <c r="L145" s="14">
        <v>0</v>
      </c>
      <c r="M145" s="14">
        <f>VLOOKUP(D145,'[1]Inv Sem 23 pzas '!A:F,2,FALSE)/1000</f>
        <v>0</v>
      </c>
      <c r="N145" s="14">
        <f>VLOOKUP(D145,'[1]Inv Sem 23 pzas '!A:F,3,FALSE)/1000</f>
        <v>6.8</v>
      </c>
      <c r="O145" s="14">
        <f>VLOOKUP(D145,'[1]Inv Sem 23 pzas '!A:F,4,FALSE)/1000</f>
        <v>-7.9000000000000001E-2</v>
      </c>
      <c r="P145" s="14">
        <f>VLOOKUP(D145,'[1]Inv Sem 23 pzas '!A:F,5,FALSE)</f>
        <v>0</v>
      </c>
      <c r="Q145" s="14">
        <f>VLOOKUP(D145,'[1]Inv Sem 23 pzas '!A:F,6,FALSE)/1000</f>
        <v>2.2999999999999998</v>
      </c>
      <c r="R145" s="13">
        <f t="shared" si="62"/>
        <v>9.0210000000000008</v>
      </c>
      <c r="S145" s="12">
        <f t="shared" si="63"/>
        <v>7.7941440000000002</v>
      </c>
      <c r="T145" s="11">
        <f t="shared" si="64"/>
        <v>0</v>
      </c>
      <c r="U145" s="11">
        <f t="shared" si="65"/>
        <v>5.7538461538461538</v>
      </c>
      <c r="V145" s="11">
        <f t="shared" si="66"/>
        <v>-6.6846153846153847E-2</v>
      </c>
      <c r="W145" s="11">
        <f t="shared" si="67"/>
        <v>0</v>
      </c>
      <c r="X145" s="11">
        <f t="shared" si="68"/>
        <v>1.9461538461538459</v>
      </c>
      <c r="Y145" s="11">
        <f t="shared" si="75"/>
        <v>0</v>
      </c>
      <c r="Z145" s="9">
        <f t="shared" si="69"/>
        <v>7.6331538461538457</v>
      </c>
      <c r="AA145" s="9">
        <f t="shared" si="70"/>
        <v>2.5714285714285716</v>
      </c>
      <c r="AB145" s="10">
        <f t="shared" si="71"/>
        <v>2.6256623376623378</v>
      </c>
      <c r="AC145" s="9">
        <f t="shared" si="72"/>
        <v>5.0617252747252746</v>
      </c>
      <c r="AD145" s="8">
        <f t="shared" si="73"/>
        <v>5.9820389610389615</v>
      </c>
      <c r="AE145" s="7">
        <f t="shared" si="74"/>
        <v>5.1684816623376628</v>
      </c>
    </row>
    <row r="146" spans="1:31" x14ac:dyDescent="0.25">
      <c r="A146" s="22">
        <f t="shared" ca="1" si="61"/>
        <v>46182</v>
      </c>
      <c r="B146" s="21" t="s">
        <v>2</v>
      </c>
      <c r="C146" s="20" t="s">
        <v>1</v>
      </c>
      <c r="D146" s="4" t="s">
        <v>18</v>
      </c>
      <c r="E146" s="3" t="str">
        <f>VLOOKUP(D146,'[1]ANALISIS (NEW)'!C:E,3,FALSE)</f>
        <v>Label - A/C 3M 7874 Thermal Polyeste</v>
      </c>
      <c r="F146" s="19" t="str">
        <f>VLOOKUP(D146,'[1]ANALISIS (NEW)'!C:AX,48,FALSE)</f>
        <v>GENERAL LABELS AND PRINT</v>
      </c>
      <c r="G146" s="15" t="str">
        <f>VLOOKUP(D:D,'[1]ANALISIS (NEW)'!C:BY,75,FALSE)</f>
        <v>EA</v>
      </c>
      <c r="H146" s="18" t="str">
        <f>VLOOKUP(D146,'[1]ANALISIS (NEW)'!C:BF,49,FALSE)</f>
        <v xml:space="preserve">US </v>
      </c>
      <c r="I146" s="17">
        <f>VLOOKUP(D146,'[1]ANALISIS (NEW)'!C:BF,50,FALSE)</f>
        <v>9</v>
      </c>
      <c r="J146" s="16">
        <f>VLOOKUP(D146,'[1]ANALISIS (NEW)'!C:BG,57,FALSE)</f>
        <v>8.9760000000000006E-2</v>
      </c>
      <c r="K146" s="15">
        <f>VLOOKUP(D146,'[1]ANALISIS (NEW)'!C:BF,56,FALSE)</f>
        <v>0.36363636363636365</v>
      </c>
      <c r="L146" s="14">
        <v>0</v>
      </c>
      <c r="M146" s="14">
        <f>VLOOKUP(D146,'[1]Inv Sem 23 pzas '!A:F,2,FALSE)/1000</f>
        <v>0</v>
      </c>
      <c r="N146" s="14">
        <f>VLOOKUP(D146,'[1]Inv Sem 23 pzas '!A:F,3,FALSE)/1000</f>
        <v>0</v>
      </c>
      <c r="O146" s="14">
        <f>VLOOKUP(D146,'[1]Inv Sem 23 pzas '!A:F,4,FALSE)/1000</f>
        <v>5.0140000000000002</v>
      </c>
      <c r="P146" s="14">
        <f>VLOOKUP(D146,'[1]Inv Sem 23 pzas '!A:F,5,FALSE)</f>
        <v>0</v>
      </c>
      <c r="Q146" s="14">
        <f>VLOOKUP(D146,'[1]Inv Sem 23 pzas '!A:F,6,FALSE)/1000</f>
        <v>9.9499999999999993</v>
      </c>
      <c r="R146" s="13">
        <f t="shared" si="62"/>
        <v>14.963999999999999</v>
      </c>
      <c r="S146" s="12">
        <f t="shared" si="63"/>
        <v>1.34316864</v>
      </c>
      <c r="T146" s="11">
        <f t="shared" si="64"/>
        <v>0</v>
      </c>
      <c r="U146" s="11">
        <f t="shared" si="65"/>
        <v>0</v>
      </c>
      <c r="V146" s="11">
        <f t="shared" si="66"/>
        <v>13.788500000000001</v>
      </c>
      <c r="W146" s="11">
        <f t="shared" si="67"/>
        <v>0</v>
      </c>
      <c r="X146" s="11">
        <f t="shared" si="68"/>
        <v>27.362499999999997</v>
      </c>
      <c r="Y146" s="11">
        <f t="shared" si="75"/>
        <v>0</v>
      </c>
      <c r="Z146" s="9">
        <f t="shared" si="69"/>
        <v>41.150999999999996</v>
      </c>
      <c r="AA146" s="9">
        <f t="shared" si="70"/>
        <v>2.2857142857142856</v>
      </c>
      <c r="AB146" s="10">
        <f t="shared" si="71"/>
        <v>7.4605714285714289E-2</v>
      </c>
      <c r="AC146" s="9">
        <f t="shared" si="72"/>
        <v>38.865285714285712</v>
      </c>
      <c r="AD146" s="8">
        <f t="shared" si="73"/>
        <v>14.132831168831169</v>
      </c>
      <c r="AE146" s="7">
        <f t="shared" si="74"/>
        <v>1.2685629257142859</v>
      </c>
    </row>
    <row r="147" spans="1:31" x14ac:dyDescent="0.25">
      <c r="A147" s="22">
        <f t="shared" ca="1" si="61"/>
        <v>46182</v>
      </c>
      <c r="B147" s="21" t="s">
        <v>2</v>
      </c>
      <c r="C147" s="20" t="s">
        <v>1</v>
      </c>
      <c r="D147" s="4" t="s">
        <v>17</v>
      </c>
      <c r="E147" s="3" t="str">
        <f>VLOOKUP(D147,'[1]ANALISIS (NEW)'!C:E,3,FALSE)</f>
        <v>SLEEVE - NVH INSULATOR</v>
      </c>
      <c r="F147" s="19" t="str">
        <f>VLOOKUP(D147,'[1]ANALISIS (NEW)'!C:AX,48,FALSE)</f>
        <v>COLONIAL DPP LLC</v>
      </c>
      <c r="G147" s="15" t="str">
        <f>VLOOKUP(D:D,'[1]ANALISIS (NEW)'!C:BY,75,FALSE)</f>
        <v>EA</v>
      </c>
      <c r="H147" s="18" t="str">
        <f>VLOOKUP(D147,'[1]ANALISIS (NEW)'!C:BF,49,FALSE)</f>
        <v xml:space="preserve">US </v>
      </c>
      <c r="I147" s="17">
        <f>VLOOKUP(D147,'[1]ANALISIS (NEW)'!C:BF,50,FALSE)</f>
        <v>9</v>
      </c>
      <c r="J147" s="16">
        <f>VLOOKUP(D147,'[1]ANALISIS (NEW)'!C:BG,57,FALSE)</f>
        <v>8.763E-2</v>
      </c>
      <c r="K147" s="15">
        <f>VLOOKUP(D147,'[1]ANALISIS (NEW)'!C:BF,56,FALSE)+1</f>
        <v>1.7272727272727273</v>
      </c>
      <c r="L147" s="14">
        <v>0</v>
      </c>
      <c r="M147" s="14">
        <f>VLOOKUP(D147,'[1]Inv Sem 23 pzas '!A:F,2,FALSE)/1000</f>
        <v>0</v>
      </c>
      <c r="N147" s="14">
        <f>VLOOKUP(D147,'[1]Inv Sem 23 pzas '!A:F,3,FALSE)/1000</f>
        <v>0</v>
      </c>
      <c r="O147" s="14">
        <f>VLOOKUP(D147,'[1]Inv Sem 23 pzas '!A:F,4,FALSE)/1000</f>
        <v>0</v>
      </c>
      <c r="P147" s="14">
        <f>VLOOKUP(D147,'[1]Inv Sem 23 pzas '!A:F,5,FALSE)</f>
        <v>0</v>
      </c>
      <c r="Q147" s="14">
        <f>VLOOKUP(D147,'[1]Inv Sem 23 pzas '!A:F,6,FALSE)/1000</f>
        <v>4.9800000000000004</v>
      </c>
      <c r="R147" s="13">
        <f t="shared" si="62"/>
        <v>4.9800000000000004</v>
      </c>
      <c r="S147" s="12">
        <f t="shared" si="63"/>
        <v>0.43639740000000005</v>
      </c>
      <c r="T147" s="11">
        <f t="shared" si="64"/>
        <v>0</v>
      </c>
      <c r="U147" s="11">
        <f t="shared" si="65"/>
        <v>0</v>
      </c>
      <c r="V147" s="11">
        <f t="shared" si="66"/>
        <v>0</v>
      </c>
      <c r="W147" s="11">
        <f t="shared" si="67"/>
        <v>0</v>
      </c>
      <c r="X147" s="11">
        <f t="shared" si="68"/>
        <v>2.8831578947368421</v>
      </c>
      <c r="Y147" s="11">
        <f t="shared" si="75"/>
        <v>0</v>
      </c>
      <c r="Z147" s="9">
        <f t="shared" si="69"/>
        <v>2.8831578947368421</v>
      </c>
      <c r="AA147" s="9">
        <f t="shared" si="70"/>
        <v>2.2857142857142856</v>
      </c>
      <c r="AB147" s="10">
        <f t="shared" si="71"/>
        <v>0.34596779220779222</v>
      </c>
      <c r="AC147" s="9">
        <f t="shared" si="72"/>
        <v>0.59744360902255655</v>
      </c>
      <c r="AD147" s="8">
        <f t="shared" si="73"/>
        <v>1.0319480519480522</v>
      </c>
      <c r="AE147" s="7">
        <f t="shared" si="74"/>
        <v>9.0429607792207808E-2</v>
      </c>
    </row>
    <row r="148" spans="1:31" x14ac:dyDescent="0.25">
      <c r="A148" s="22">
        <f t="shared" ca="1" si="61"/>
        <v>46182</v>
      </c>
      <c r="B148" s="21" t="s">
        <v>2</v>
      </c>
      <c r="C148" s="20" t="s">
        <v>1</v>
      </c>
      <c r="D148" s="4" t="s">
        <v>16</v>
      </c>
      <c r="E148" s="3" t="str">
        <f>VLOOKUP(D148,'[1]ANALISIS (NEW)'!C:E,3,FALSE)</f>
        <v>HOSE-A/C FORMED-BARRIER GALAXY 4898 13/3</v>
      </c>
      <c r="F148" s="19" t="str">
        <f>VLOOKUP(D148,'[1]ANALISIS (NEW)'!C:AX,48,FALSE)</f>
        <v>CONTITECH NORTH AMERICA,</v>
      </c>
      <c r="G148" s="15" t="str">
        <f>VLOOKUP(D:D,'[1]ANALISIS (NEW)'!C:BY,75,FALSE)</f>
        <v>EA</v>
      </c>
      <c r="H148" s="18" t="str">
        <f>VLOOKUP(D148,'[1]ANALISIS (NEW)'!C:BF,49,FALSE)</f>
        <v xml:space="preserve">US </v>
      </c>
      <c r="I148" s="17">
        <f>VLOOKUP(D148,'[1]ANALISIS (NEW)'!C:BF,50,FALSE)</f>
        <v>9</v>
      </c>
      <c r="J148" s="16">
        <f>VLOOKUP(D148,'[1]ANALISIS (NEW)'!C:BG,57,FALSE)</f>
        <v>2.6789999999999998</v>
      </c>
      <c r="K148" s="15">
        <f>VLOOKUP(D148,'[1]ANALISIS (NEW)'!C:BF,56,FALSE)+1</f>
        <v>1</v>
      </c>
      <c r="L148" s="14">
        <v>0</v>
      </c>
      <c r="M148" s="14">
        <f>VLOOKUP(D148,'[1]Inv Sem 23 pzas '!A:F,2,FALSE)/1000</f>
        <v>0</v>
      </c>
      <c r="N148" s="14">
        <f>VLOOKUP(D148,'[1]Inv Sem 23 pzas '!A:F,3,FALSE)/1000</f>
        <v>0.5</v>
      </c>
      <c r="O148" s="14">
        <f>VLOOKUP(D148,'[1]Inv Sem 23 pzas '!A:F,4,FALSE)/1000</f>
        <v>0.105</v>
      </c>
      <c r="P148" s="14">
        <f>VLOOKUP(D148,'[1]Inv Sem 23 pzas '!A:F,5,FALSE)</f>
        <v>0</v>
      </c>
      <c r="Q148" s="14">
        <f>VLOOKUP(D148,'[1]Inv Sem 23 pzas '!A:F,6,FALSE)/1000</f>
        <v>0.5</v>
      </c>
      <c r="R148" s="13">
        <f t="shared" si="62"/>
        <v>1.105</v>
      </c>
      <c r="S148" s="12">
        <f t="shared" si="63"/>
        <v>2.9602949999999999</v>
      </c>
      <c r="T148" s="11">
        <f t="shared" si="64"/>
        <v>0</v>
      </c>
      <c r="U148" s="11">
        <f t="shared" si="65"/>
        <v>0.5</v>
      </c>
      <c r="V148" s="11">
        <f t="shared" si="66"/>
        <v>0.105</v>
      </c>
      <c r="W148" s="11">
        <f t="shared" si="67"/>
        <v>0</v>
      </c>
      <c r="X148" s="11">
        <f t="shared" si="68"/>
        <v>0.5</v>
      </c>
      <c r="Y148" s="11">
        <f t="shared" si="75"/>
        <v>0</v>
      </c>
      <c r="Z148" s="9">
        <f t="shared" si="69"/>
        <v>1.105</v>
      </c>
      <c r="AA148" s="9">
        <f t="shared" si="70"/>
        <v>2.2857142857142856</v>
      </c>
      <c r="AB148" s="10">
        <f t="shared" si="71"/>
        <v>6.1234285714285708</v>
      </c>
      <c r="AC148" s="9">
        <f t="shared" si="72"/>
        <v>-1.1807142857142856</v>
      </c>
      <c r="AD148" s="8">
        <f t="shared" si="73"/>
        <v>-1.1807142857142856</v>
      </c>
      <c r="AE148" s="7">
        <f t="shared" si="74"/>
        <v>-3.1631335714285709</v>
      </c>
    </row>
    <row r="149" spans="1:31" x14ac:dyDescent="0.25">
      <c r="A149" s="22">
        <f t="shared" ca="1" si="61"/>
        <v>46182</v>
      </c>
      <c r="B149" s="21" t="s">
        <v>2</v>
      </c>
      <c r="C149" s="20" t="s">
        <v>1</v>
      </c>
      <c r="D149" s="4" t="s">
        <v>15</v>
      </c>
      <c r="E149" s="3" t="str">
        <f>VLOOKUP(D149,'[1]ANALISIS (NEW)'!C:E,3,FALSE)</f>
        <v>SLV NVH RUBBER NON SLT EPDM Rubber Sleev</v>
      </c>
      <c r="F149" s="19" t="str">
        <f>VLOOKUP(D149,'[1]ANALISIS (NEW)'!C:AX,48,FALSE)</f>
        <v>COOPER-STANDARD INDUSTRI</v>
      </c>
      <c r="G149" s="15" t="str">
        <f>VLOOKUP(D:D,'[1]ANALISIS (NEW)'!C:BY,75,FALSE)</f>
        <v>EA</v>
      </c>
      <c r="H149" s="18" t="str">
        <f>VLOOKUP(D149,'[1]ANALISIS (NEW)'!C:BF,49,FALSE)</f>
        <v xml:space="preserve">US </v>
      </c>
      <c r="I149" s="17">
        <f>VLOOKUP(D149,'[1]ANALISIS (NEW)'!C:BF,50,FALSE)</f>
        <v>9</v>
      </c>
      <c r="J149" s="16">
        <f>VLOOKUP(D149,'[1]ANALISIS (NEW)'!C:BG,57,FALSE)</f>
        <v>4.4600000000000001E-2</v>
      </c>
      <c r="K149" s="15">
        <f>VLOOKUP(D149,'[1]ANALISIS (NEW)'!C:BF,56,FALSE)</f>
        <v>159.27272727272728</v>
      </c>
      <c r="L149" s="14">
        <v>0</v>
      </c>
      <c r="M149" s="14">
        <f>VLOOKUP(D149,'[1]Inv Sem 23 pzas '!A:F,2,FALSE)/1000</f>
        <v>0</v>
      </c>
      <c r="N149" s="14">
        <f>VLOOKUP(D149,'[1]Inv Sem 23 pzas '!A:F,3,FALSE)/1000</f>
        <v>60</v>
      </c>
      <c r="O149" s="14">
        <f>VLOOKUP(D149,'[1]Inv Sem 23 pzas '!A:F,4,FALSE)/1000</f>
        <v>0.39200000000000002</v>
      </c>
      <c r="P149" s="14">
        <f>VLOOKUP(D149,'[1]Inv Sem 23 pzas '!A:F,5,FALSE)</f>
        <v>0</v>
      </c>
      <c r="Q149" s="14">
        <f>VLOOKUP(D149,'[1]Inv Sem 23 pzas '!A:F,6,FALSE)/1000</f>
        <v>0.5</v>
      </c>
      <c r="R149" s="13">
        <f t="shared" si="62"/>
        <v>60.892000000000003</v>
      </c>
      <c r="S149" s="12">
        <f t="shared" si="63"/>
        <v>2.7157832000000002</v>
      </c>
      <c r="T149" s="11">
        <f t="shared" si="64"/>
        <v>0</v>
      </c>
      <c r="U149" s="11">
        <f t="shared" si="65"/>
        <v>0.37671232876712329</v>
      </c>
      <c r="V149" s="11">
        <f t="shared" si="66"/>
        <v>2.4611872146118722E-3</v>
      </c>
      <c r="W149" s="11">
        <f t="shared" si="67"/>
        <v>0</v>
      </c>
      <c r="X149" s="11">
        <f t="shared" si="68"/>
        <v>3.1392694063926939E-3</v>
      </c>
      <c r="Y149" s="11">
        <f t="shared" si="75"/>
        <v>0</v>
      </c>
      <c r="Z149" s="9">
        <f t="shared" si="69"/>
        <v>0.38231278538812785</v>
      </c>
      <c r="AA149" s="9">
        <f t="shared" si="70"/>
        <v>2.2857142857142856</v>
      </c>
      <c r="AB149" s="10">
        <f t="shared" si="71"/>
        <v>16.236716883116884</v>
      </c>
      <c r="AC149" s="9">
        <f t="shared" si="72"/>
        <v>-1.9034015003261577</v>
      </c>
      <c r="AD149" s="8">
        <f t="shared" si="73"/>
        <v>-303.15994805194805</v>
      </c>
      <c r="AE149" s="7">
        <f t="shared" si="74"/>
        <v>-13.520933683116883</v>
      </c>
    </row>
    <row r="150" spans="1:31" x14ac:dyDescent="0.25">
      <c r="A150" s="22">
        <f t="shared" ca="1" si="61"/>
        <v>46182</v>
      </c>
      <c r="B150" s="21" t="s">
        <v>2</v>
      </c>
      <c r="C150" s="20" t="s">
        <v>1</v>
      </c>
      <c r="D150" s="4" t="s">
        <v>14</v>
      </c>
      <c r="E150" s="3" t="str">
        <f>VLOOKUP(D150,'[1]ANALISIS (NEW)'!C:E,3,FALSE)</f>
        <v>CAP-16MM CAPO FLANGE</v>
      </c>
      <c r="F150" s="19" t="str">
        <f>VLOOKUP(D150,'[1]ANALISIS (NEW)'!C:AX,48,FALSE)</f>
        <v>Caplugs LLC</v>
      </c>
      <c r="G150" s="15" t="str">
        <f>VLOOKUP(D:D,'[1]ANALISIS (NEW)'!C:BY,75,FALSE)</f>
        <v>EA</v>
      </c>
      <c r="H150" s="18" t="str">
        <f>VLOOKUP(D150,'[1]ANALISIS (NEW)'!C:BF,49,FALSE)</f>
        <v xml:space="preserve">US </v>
      </c>
      <c r="I150" s="17">
        <f>VLOOKUP(D150,'[1]ANALISIS (NEW)'!C:BF,50,FALSE)</f>
        <v>9</v>
      </c>
      <c r="J150" s="16">
        <f>VLOOKUP(D150,'[1]ANALISIS (NEW)'!C:BG,57,FALSE)</f>
        <v>3.4409999999999996E-2</v>
      </c>
      <c r="K150" s="15">
        <f>VLOOKUP(D150,'[1]ANALISIS (NEW)'!C:BF,56,FALSE)</f>
        <v>1058.8181818181818</v>
      </c>
      <c r="L150" s="14">
        <v>0</v>
      </c>
      <c r="M150" s="14">
        <f>VLOOKUP(D150,'[1]Inv Sem 23 pzas '!A:F,2,FALSE)/1000</f>
        <v>0</v>
      </c>
      <c r="N150" s="14">
        <f>VLOOKUP(D150,'[1]Inv Sem 23 pzas '!A:F,3,FALSE)/1000</f>
        <v>0</v>
      </c>
      <c r="O150" s="14">
        <f>VLOOKUP(D150,'[1]Inv Sem 23 pzas '!A:F,4,FALSE)/1000</f>
        <v>0.64800000000000002</v>
      </c>
      <c r="P150" s="14">
        <f>VLOOKUP(D150,'[1]Inv Sem 23 pzas '!A:F,5,FALSE)</f>
        <v>0</v>
      </c>
      <c r="Q150" s="14">
        <f>VLOOKUP(D150,'[1]Inv Sem 23 pzas '!A:F,6,FALSE)/1000</f>
        <v>7.5</v>
      </c>
      <c r="R150" s="13">
        <f t="shared" si="62"/>
        <v>8.1479999999999997</v>
      </c>
      <c r="S150" s="12">
        <f t="shared" si="63"/>
        <v>0.28037267999999999</v>
      </c>
      <c r="T150" s="11">
        <f t="shared" si="64"/>
        <v>0</v>
      </c>
      <c r="U150" s="11">
        <f t="shared" si="65"/>
        <v>0</v>
      </c>
      <c r="V150" s="11">
        <f t="shared" si="66"/>
        <v>6.1200309092470165E-4</v>
      </c>
      <c r="W150" s="11">
        <f t="shared" si="67"/>
        <v>0</v>
      </c>
      <c r="X150" s="11">
        <f t="shared" si="68"/>
        <v>7.083369107924788E-3</v>
      </c>
      <c r="Y150" s="11">
        <f t="shared" si="75"/>
        <v>0</v>
      </c>
      <c r="Z150" s="9">
        <f t="shared" si="69"/>
        <v>7.6953721988494896E-3</v>
      </c>
      <c r="AA150" s="9">
        <f t="shared" si="70"/>
        <v>2.2857142857142856</v>
      </c>
      <c r="AB150" s="10">
        <f t="shared" si="71"/>
        <v>83.277562597402579</v>
      </c>
      <c r="AC150" s="9">
        <f t="shared" si="72"/>
        <v>-2.2780189135154361</v>
      </c>
      <c r="AD150" s="8">
        <f t="shared" si="73"/>
        <v>-2412.0078441558439</v>
      </c>
      <c r="AE150" s="7">
        <f t="shared" si="74"/>
        <v>-82.997189917402579</v>
      </c>
    </row>
    <row r="151" spans="1:31" x14ac:dyDescent="0.25">
      <c r="A151" s="22">
        <f t="shared" ca="1" si="61"/>
        <v>46182</v>
      </c>
      <c r="B151" s="21" t="s">
        <v>2</v>
      </c>
      <c r="C151" s="20" t="s">
        <v>1</v>
      </c>
      <c r="D151" s="4" t="s">
        <v>13</v>
      </c>
      <c r="E151" s="3" t="str">
        <f>VLOOKUP(D151,'[1]ANALISIS (NEW)'!C:E,3,FALSE)</f>
        <v>CAP SHIPPING</v>
      </c>
      <c r="F151" s="19" t="str">
        <f>VLOOKUP(D151,'[1]ANALISIS (NEW)'!C:AX,48,FALSE)</f>
        <v>ESSENTRA PLASTICS,LLC DB</v>
      </c>
      <c r="G151" s="15" t="str">
        <f>VLOOKUP(D:D,'[1]ANALISIS (NEW)'!C:BY,75,FALSE)</f>
        <v>EA</v>
      </c>
      <c r="H151" s="18" t="str">
        <f>VLOOKUP(D151,'[1]ANALISIS (NEW)'!C:BF,49,FALSE)</f>
        <v xml:space="preserve">US </v>
      </c>
      <c r="I151" s="17">
        <f>VLOOKUP(D151,'[1]ANALISIS (NEW)'!C:BF,50,FALSE)</f>
        <v>9</v>
      </c>
      <c r="J151" s="16">
        <f>VLOOKUP(D151,'[1]ANALISIS (NEW)'!C:BG,57,FALSE)</f>
        <v>9.9700000000000014E-3</v>
      </c>
      <c r="K151" s="15">
        <f>VLOOKUP(D151,'[1]ANALISIS (NEW)'!C:BF,56,FALSE)</f>
        <v>4146.545454545455</v>
      </c>
      <c r="L151" s="14">
        <v>0</v>
      </c>
      <c r="M151" s="14">
        <f>VLOOKUP(D151,'[1]Inv Sem 23 pzas '!A:F,2,FALSE)/1000</f>
        <v>0</v>
      </c>
      <c r="N151" s="14">
        <f>VLOOKUP(D151,'[1]Inv Sem 23 pzas '!A:F,3,FALSE)/1000</f>
        <v>0</v>
      </c>
      <c r="O151" s="14">
        <f>VLOOKUP(D151,'[1]Inv Sem 23 pzas '!A:F,4,FALSE)/1000</f>
        <v>11.284000000000001</v>
      </c>
      <c r="P151" s="14">
        <f>VLOOKUP(D151,'[1]Inv Sem 23 pzas '!A:F,5,FALSE)</f>
        <v>0</v>
      </c>
      <c r="Q151" s="14">
        <f>VLOOKUP(D151,'[1]Inv Sem 23 pzas '!A:F,6,FALSE)/1000</f>
        <v>14.259</v>
      </c>
      <c r="R151" s="13">
        <f t="shared" si="62"/>
        <v>25.542999999999999</v>
      </c>
      <c r="S151" s="12">
        <f t="shared" si="63"/>
        <v>0.25466371000000004</v>
      </c>
      <c r="T151" s="11">
        <f t="shared" si="64"/>
        <v>0</v>
      </c>
      <c r="U151" s="11">
        <f t="shared" si="65"/>
        <v>0</v>
      </c>
      <c r="V151" s="11">
        <f t="shared" si="66"/>
        <v>2.7213014119091467E-3</v>
      </c>
      <c r="W151" s="11">
        <f t="shared" si="67"/>
        <v>0</v>
      </c>
      <c r="X151" s="11">
        <f t="shared" si="68"/>
        <v>3.4387661141804787E-3</v>
      </c>
      <c r="Y151" s="11">
        <f t="shared" si="75"/>
        <v>0</v>
      </c>
      <c r="Z151" s="9">
        <f t="shared" si="69"/>
        <v>6.160067526089625E-3</v>
      </c>
      <c r="AA151" s="9">
        <f t="shared" si="70"/>
        <v>2.2857142857142856</v>
      </c>
      <c r="AB151" s="10">
        <f t="shared" si="71"/>
        <v>94.493847272727294</v>
      </c>
      <c r="AC151" s="9">
        <f t="shared" si="72"/>
        <v>-2.279554218188196</v>
      </c>
      <c r="AD151" s="8">
        <f t="shared" si="73"/>
        <v>-9452.2751818181823</v>
      </c>
      <c r="AE151" s="7">
        <f t="shared" si="74"/>
        <v>-94.239183562727291</v>
      </c>
    </row>
    <row r="152" spans="1:31" x14ac:dyDescent="0.25">
      <c r="A152" s="22">
        <f t="shared" ca="1" si="61"/>
        <v>46182</v>
      </c>
      <c r="B152" s="21" t="s">
        <v>2</v>
      </c>
      <c r="C152" s="20" t="s">
        <v>1</v>
      </c>
      <c r="D152" s="4" t="s">
        <v>12</v>
      </c>
      <c r="E152" s="3" t="str">
        <f>VLOOKUP(D152,'[1]ANALISIS (NEW)'!C:E,3,FALSE)</f>
        <v>O-RING FLUID TRANSPORT A/C LINE O-RING</v>
      </c>
      <c r="F152" s="19" t="str">
        <f>VLOOKUP(D152,'[1]ANALISIS (NEW)'!C:AX,48,FALSE)</f>
        <v>PARKER HANNIFIN CORP</v>
      </c>
      <c r="G152" s="15" t="str">
        <f>VLOOKUP(D:D,'[1]ANALISIS (NEW)'!C:BY,75,FALSE)</f>
        <v>EA</v>
      </c>
      <c r="H152" s="18" t="str">
        <f>VLOOKUP(D152,'[1]ANALISIS (NEW)'!C:BF,49,FALSE)</f>
        <v xml:space="preserve">US </v>
      </c>
      <c r="I152" s="17">
        <f>VLOOKUP(D152,'[1]ANALISIS (NEW)'!C:BF,50,FALSE)</f>
        <v>9</v>
      </c>
      <c r="J152" s="16">
        <f>VLOOKUP(D152,'[1]ANALISIS (NEW)'!C:BG,57,FALSE)</f>
        <v>2.75E-2</v>
      </c>
      <c r="K152" s="15">
        <f>VLOOKUP(D152,'[1]ANALISIS (NEW)'!C:BF,56,FALSE)</f>
        <v>1801.6363636363637</v>
      </c>
      <c r="L152" s="14">
        <v>0</v>
      </c>
      <c r="M152" s="14">
        <f>VLOOKUP(D152,'[1]Inv Sem 23 pzas '!A:F,2,FALSE)/1000</f>
        <v>0</v>
      </c>
      <c r="N152" s="14">
        <f>VLOOKUP(D152,'[1]Inv Sem 23 pzas '!A:F,3,FALSE)/1000</f>
        <v>0</v>
      </c>
      <c r="O152" s="14">
        <f>VLOOKUP(D152,'[1]Inv Sem 23 pzas '!A:F,4,FALSE)/1000</f>
        <v>-0.60399999999999998</v>
      </c>
      <c r="P152" s="14">
        <f>VLOOKUP(D152,'[1]Inv Sem 23 pzas '!A:F,5,FALSE)</f>
        <v>0</v>
      </c>
      <c r="Q152" s="14">
        <f>VLOOKUP(D152,'[1]Inv Sem 23 pzas '!A:F,6,FALSE)/1000</f>
        <v>79.384</v>
      </c>
      <c r="R152" s="13">
        <f t="shared" si="62"/>
        <v>78.78</v>
      </c>
      <c r="S152" s="12">
        <f t="shared" si="63"/>
        <v>2.1664500000000002</v>
      </c>
      <c r="T152" s="11">
        <f t="shared" si="64"/>
        <v>0</v>
      </c>
      <c r="U152" s="11">
        <f t="shared" si="65"/>
        <v>0</v>
      </c>
      <c r="V152" s="11">
        <f t="shared" si="66"/>
        <v>-3.352507821172671E-4</v>
      </c>
      <c r="W152" s="11">
        <f t="shared" si="67"/>
        <v>0</v>
      </c>
      <c r="X152" s="11">
        <f t="shared" si="68"/>
        <v>4.4062165707942275E-2</v>
      </c>
      <c r="Y152" s="11">
        <f t="shared" si="75"/>
        <v>0</v>
      </c>
      <c r="Z152" s="9">
        <f t="shared" si="69"/>
        <v>4.3726914925825006E-2</v>
      </c>
      <c r="AA152" s="9">
        <f t="shared" si="70"/>
        <v>2.2857142857142856</v>
      </c>
      <c r="AB152" s="10">
        <f t="shared" si="71"/>
        <v>113.2457142857143</v>
      </c>
      <c r="AC152" s="9">
        <f t="shared" si="72"/>
        <v>-2.2419873707884608</v>
      </c>
      <c r="AD152" s="8">
        <f t="shared" si="73"/>
        <v>-4039.2459740259742</v>
      </c>
      <c r="AE152" s="7">
        <f t="shared" si="74"/>
        <v>-111.07926428571429</v>
      </c>
    </row>
    <row r="153" spans="1:31" x14ac:dyDescent="0.25">
      <c r="A153" s="22">
        <f t="shared" ca="1" si="61"/>
        <v>46182</v>
      </c>
      <c r="B153" s="21" t="s">
        <v>2</v>
      </c>
      <c r="C153" s="20" t="s">
        <v>1</v>
      </c>
      <c r="D153" s="4" t="s">
        <v>11</v>
      </c>
      <c r="E153" s="3" t="str">
        <f>VLOOKUP(D153,'[1]ANALISIS (NEW)'!C:E,3,FALSE)</f>
        <v>3/8in MSLC O'RING (DARK BLUE)</v>
      </c>
      <c r="F153" s="19" t="str">
        <f>VLOOKUP(D153,'[1]ANALISIS (NEW)'!C:AX,48,FALSE)</f>
        <v>TRELLEBORG SEALING SOLUT</v>
      </c>
      <c r="G153" s="15" t="str">
        <f>VLOOKUP(D:D,'[1]ANALISIS (NEW)'!C:BY,75,FALSE)</f>
        <v>EA</v>
      </c>
      <c r="H153" s="18" t="str">
        <f>VLOOKUP(D153,'[1]ANALISIS (NEW)'!C:BF,49,FALSE)</f>
        <v xml:space="preserve">US </v>
      </c>
      <c r="I153" s="17">
        <f>VLOOKUP(D153,'[1]ANALISIS (NEW)'!C:BF,50,FALSE)</f>
        <v>9</v>
      </c>
      <c r="J153" s="16">
        <f>VLOOKUP(D153,'[1]ANALISIS (NEW)'!C:BG,57,FALSE)</f>
        <v>2.52E-2</v>
      </c>
      <c r="K153" s="15">
        <f>VLOOKUP(D153,'[1]ANALISIS (NEW)'!C:BF,56,FALSE)+0.1</f>
        <v>29783.1</v>
      </c>
      <c r="L153" s="14">
        <v>60000</v>
      </c>
      <c r="M153" s="14">
        <f>VLOOKUP(D153,'[1]Inv Sem 23 pzas '!A:F,2,FALSE)/1000</f>
        <v>0</v>
      </c>
      <c r="N153" s="14">
        <f>VLOOKUP(D153,'[1]Inv Sem 23 pzas '!A:F,3,FALSE)/1000</f>
        <v>65.724999999999994</v>
      </c>
      <c r="O153" s="14">
        <f>VLOOKUP(D153,'[1]Inv Sem 23 pzas '!A:F,4,FALSE)/1000</f>
        <v>-5.444</v>
      </c>
      <c r="P153" s="14">
        <f>VLOOKUP(D153,'[1]Inv Sem 23 pzas '!A:F,5,FALSE)</f>
        <v>0</v>
      </c>
      <c r="Q153" s="14">
        <f>VLOOKUP(D153,'[1]Inv Sem 23 pzas '!A:F,6,FALSE)/1000</f>
        <v>69</v>
      </c>
      <c r="R153" s="13">
        <f t="shared" si="62"/>
        <v>60129.280999999995</v>
      </c>
      <c r="S153" s="12">
        <f t="shared" si="63"/>
        <v>1515.2578811999999</v>
      </c>
      <c r="T153" s="11">
        <f t="shared" si="64"/>
        <v>0</v>
      </c>
      <c r="U153" s="11">
        <f t="shared" si="65"/>
        <v>2.2067884135633965E-3</v>
      </c>
      <c r="V153" s="11">
        <f t="shared" si="66"/>
        <v>-1.8278822553730137E-4</v>
      </c>
      <c r="W153" s="11">
        <f t="shared" si="67"/>
        <v>0</v>
      </c>
      <c r="X153" s="11">
        <f t="shared" si="68"/>
        <v>2.3167501032464719E-3</v>
      </c>
      <c r="Y153" s="11">
        <f t="shared" si="75"/>
        <v>2.0145653071708454</v>
      </c>
      <c r="Z153" s="9">
        <f t="shared" si="69"/>
        <v>2.018906057462118</v>
      </c>
      <c r="AA153" s="9">
        <f t="shared" si="70"/>
        <v>2.2857142857142856</v>
      </c>
      <c r="AB153" s="10">
        <f t="shared" si="71"/>
        <v>1715.5065599999998</v>
      </c>
      <c r="AC153" s="9">
        <f t="shared" si="72"/>
        <v>-0.26680822825216755</v>
      </c>
      <c r="AD153" s="8">
        <f t="shared" si="73"/>
        <v>-7946.3761428571306</v>
      </c>
      <c r="AE153" s="7">
        <f t="shared" si="74"/>
        <v>-200.24867879999968</v>
      </c>
    </row>
    <row r="154" spans="1:31" x14ac:dyDescent="0.25">
      <c r="A154" s="22">
        <f t="shared" ca="1" si="61"/>
        <v>46182</v>
      </c>
      <c r="B154" s="21" t="s">
        <v>2</v>
      </c>
      <c r="C154" s="20" t="s">
        <v>1</v>
      </c>
      <c r="D154" s="4" t="s">
        <v>10</v>
      </c>
      <c r="E154" s="3" t="str">
        <f>VLOOKUP(D154,'[1]ANALISIS (NEW)'!C:E,3,FALSE)</f>
        <v>Plastic Tie Stap</v>
      </c>
      <c r="F154" s="19" t="str">
        <f>VLOOKUP(D154,'[1]ANALISIS (NEW)'!C:AX,48,FALSE)</f>
        <v>HELLERMANN TYTON CORPORA</v>
      </c>
      <c r="G154" s="15" t="str">
        <f>VLOOKUP(D:D,'[1]ANALISIS (NEW)'!C:BY,75,FALSE)</f>
        <v>EA</v>
      </c>
      <c r="H154" s="18" t="str">
        <f>VLOOKUP(D154,'[1]ANALISIS (NEW)'!C:BF,49,FALSE)</f>
        <v xml:space="preserve">US </v>
      </c>
      <c r="I154" s="17">
        <f>VLOOKUP(D154,'[1]ANALISIS (NEW)'!C:BF,50,FALSE)</f>
        <v>9</v>
      </c>
      <c r="J154" s="16">
        <f>VLOOKUP(D154,'[1]ANALISIS (NEW)'!C:BG,57,FALSE)</f>
        <v>0.03</v>
      </c>
      <c r="K154" s="15">
        <f>VLOOKUP(D154,'[1]ANALISIS (NEW)'!C:BF,56,FALSE)</f>
        <v>8482.545454545454</v>
      </c>
      <c r="L154" s="14">
        <v>0</v>
      </c>
      <c r="M154" s="14">
        <f>VLOOKUP(D154,'[1]Inv Sem 23 pzas '!A:F,2,FALSE)/1000</f>
        <v>0</v>
      </c>
      <c r="N154" s="14">
        <f>VLOOKUP(D154,'[1]Inv Sem 23 pzas '!A:F,3,FALSE)/1000</f>
        <v>0</v>
      </c>
      <c r="O154" s="14">
        <f>VLOOKUP(D154,'[1]Inv Sem 23 pzas '!A:F,4,FALSE)/1000</f>
        <v>92.988</v>
      </c>
      <c r="P154" s="14">
        <f>VLOOKUP(D154,'[1]Inv Sem 23 pzas '!A:F,5,FALSE)</f>
        <v>0</v>
      </c>
      <c r="Q154" s="14">
        <f>VLOOKUP(D154,'[1]Inv Sem 23 pzas '!A:F,6,FALSE)/1000</f>
        <v>30</v>
      </c>
      <c r="R154" s="13">
        <f t="shared" si="62"/>
        <v>122.988</v>
      </c>
      <c r="S154" s="12">
        <f t="shared" si="63"/>
        <v>3.6896399999999998</v>
      </c>
      <c r="T154" s="11">
        <f t="shared" si="64"/>
        <v>0</v>
      </c>
      <c r="U154" s="11">
        <f t="shared" si="65"/>
        <v>0</v>
      </c>
      <c r="V154" s="11">
        <f t="shared" si="66"/>
        <v>1.0962275474771724E-2</v>
      </c>
      <c r="W154" s="11">
        <f t="shared" si="67"/>
        <v>0</v>
      </c>
      <c r="X154" s="11">
        <f t="shared" si="68"/>
        <v>3.5366742401508984E-3</v>
      </c>
      <c r="Y154" s="11">
        <f t="shared" si="75"/>
        <v>0</v>
      </c>
      <c r="Z154" s="9">
        <f t="shared" si="69"/>
        <v>1.4498949714922622E-2</v>
      </c>
      <c r="AA154" s="9">
        <f t="shared" si="70"/>
        <v>2.2857142857142856</v>
      </c>
      <c r="AB154" s="10">
        <f t="shared" si="71"/>
        <v>581.66025974025968</v>
      </c>
      <c r="AC154" s="9">
        <f t="shared" si="72"/>
        <v>-2.2712153359993628</v>
      </c>
      <c r="AD154" s="8">
        <f t="shared" si="73"/>
        <v>-19265.68732467532</v>
      </c>
      <c r="AE154" s="7">
        <f t="shared" si="74"/>
        <v>-577.97061974025962</v>
      </c>
    </row>
    <row r="155" spans="1:31" x14ac:dyDescent="0.25">
      <c r="A155" s="22">
        <f t="shared" ca="1" si="61"/>
        <v>46182</v>
      </c>
      <c r="B155" s="21" t="s">
        <v>2</v>
      </c>
      <c r="C155" s="20" t="s">
        <v>1</v>
      </c>
      <c r="D155" s="4" t="s">
        <v>9</v>
      </c>
      <c r="E155" s="3" t="str">
        <f>VLOOKUP(D155,'[1]ANALISIS (NEW)'!C:E,3,FALSE)</f>
        <v>SLV HT ALU FOIL FBRGLS D19_T0.9_L0160</v>
      </c>
      <c r="F155" s="19" t="str">
        <f>VLOOKUP(D155,'[1]ANALISIS (NEW)'!C:AX,48,FALSE)</f>
        <v>FEDERAL-MOGUL POWERTRAIN</v>
      </c>
      <c r="G155" s="15" t="str">
        <f>VLOOKUP(D:D,'[1]ANALISIS (NEW)'!C:BY,75,FALSE)</f>
        <v>EA</v>
      </c>
      <c r="H155" s="18" t="str">
        <f>VLOOKUP(D155,'[1]ANALISIS (NEW)'!C:BF,49,FALSE)</f>
        <v xml:space="preserve">US </v>
      </c>
      <c r="I155" s="17">
        <f>VLOOKUP(D155,'[1]ANALISIS (NEW)'!C:BF,50,FALSE)</f>
        <v>9</v>
      </c>
      <c r="J155" s="16">
        <f>VLOOKUP(D155,'[1]ANALISIS (NEW)'!C:BG,57,FALSE)</f>
        <v>0.27200000000000002</v>
      </c>
      <c r="K155" s="15">
        <f>VLOOKUP(D155,'[1]ANALISIS (NEW)'!C:BF,56,FALSE)</f>
        <v>1120</v>
      </c>
      <c r="L155" s="14">
        <v>0</v>
      </c>
      <c r="M155" s="14">
        <f>VLOOKUP(D155,'[1]Inv Sem 23 pzas '!A:F,2,FALSE)/1000</f>
        <v>0</v>
      </c>
      <c r="N155" s="14">
        <f>VLOOKUP(D155,'[1]Inv Sem 23 pzas '!A:F,3,FALSE)/1000</f>
        <v>1.5</v>
      </c>
      <c r="O155" s="14">
        <f>VLOOKUP(D155,'[1]Inv Sem 23 pzas '!A:F,4,FALSE)/1000</f>
        <v>1.3120000000000001</v>
      </c>
      <c r="P155" s="14">
        <f>VLOOKUP(D155,'[1]Inv Sem 23 pzas '!A:F,5,FALSE)</f>
        <v>0</v>
      </c>
      <c r="Q155" s="14">
        <f>VLOOKUP(D155,'[1]Inv Sem 23 pzas '!A:F,6,FALSE)/1000</f>
        <v>9.75</v>
      </c>
      <c r="R155" s="13">
        <f t="shared" si="62"/>
        <v>12.562000000000001</v>
      </c>
      <c r="S155" s="12">
        <f t="shared" si="63"/>
        <v>3.4168640000000003</v>
      </c>
      <c r="T155" s="11">
        <f t="shared" si="64"/>
        <v>0</v>
      </c>
      <c r="U155" s="11">
        <f t="shared" si="65"/>
        <v>1.3392857142857143E-3</v>
      </c>
      <c r="V155" s="11">
        <f t="shared" si="66"/>
        <v>1.1714285714285715E-3</v>
      </c>
      <c r="W155" s="11">
        <f t="shared" si="67"/>
        <v>0</v>
      </c>
      <c r="X155" s="11">
        <f t="shared" si="68"/>
        <v>8.7053571428571432E-3</v>
      </c>
      <c r="Y155" s="11">
        <f t="shared" si="75"/>
        <v>0</v>
      </c>
      <c r="Z155" s="9">
        <f t="shared" si="69"/>
        <v>1.1216071428571429E-2</v>
      </c>
      <c r="AA155" s="9">
        <f t="shared" si="70"/>
        <v>2.2857142857142856</v>
      </c>
      <c r="AB155" s="10">
        <f t="shared" si="71"/>
        <v>696.32</v>
      </c>
      <c r="AC155" s="9">
        <f t="shared" si="72"/>
        <v>-2.274498214285714</v>
      </c>
      <c r="AD155" s="8">
        <f t="shared" si="73"/>
        <v>-2547.4379999999996</v>
      </c>
      <c r="AE155" s="7">
        <f t="shared" si="74"/>
        <v>-692.9031359999999</v>
      </c>
    </row>
    <row r="156" spans="1:31" x14ac:dyDescent="0.25">
      <c r="A156" s="22">
        <f t="shared" ca="1" si="61"/>
        <v>46182</v>
      </c>
      <c r="B156" s="21" t="s">
        <v>2</v>
      </c>
      <c r="C156" s="20" t="s">
        <v>1</v>
      </c>
      <c r="D156" s="4" t="s">
        <v>8</v>
      </c>
      <c r="E156" s="3" t="str">
        <f>VLOOKUP(D156,'[1]ANALISIS (NEW)'!C:E,3,FALSE)</f>
        <v>Label - A/C 3M 7874 Thermal Polyeste</v>
      </c>
      <c r="F156" s="19" t="str">
        <f>VLOOKUP(D156,'[1]ANALISIS (NEW)'!C:AX,48,FALSE)</f>
        <v>GENERAL LABELS AND PRINT</v>
      </c>
      <c r="G156" s="15" t="str">
        <f>VLOOKUP(D:D,'[1]ANALISIS (NEW)'!C:BY,75,FALSE)</f>
        <v>EA</v>
      </c>
      <c r="H156" s="18" t="str">
        <f>VLOOKUP(D156,'[1]ANALISIS (NEW)'!C:BF,49,FALSE)</f>
        <v xml:space="preserve">US </v>
      </c>
      <c r="I156" s="17">
        <f>VLOOKUP(D156,'[1]ANALISIS (NEW)'!C:BF,50,FALSE)</f>
        <v>9</v>
      </c>
      <c r="J156" s="16">
        <f>VLOOKUP(D156,'[1]ANALISIS (NEW)'!C:BG,57,FALSE)</f>
        <v>5.9179999999999996E-2</v>
      </c>
      <c r="K156" s="15">
        <f>VLOOKUP(D156,'[1]ANALISIS (NEW)'!C:BF,56,FALSE)</f>
        <v>5603.818181818182</v>
      </c>
      <c r="L156" s="14">
        <v>0</v>
      </c>
      <c r="M156" s="14">
        <f>VLOOKUP(D156,'[1]Inv Sem 23 pzas '!A:F,2,FALSE)/1000</f>
        <v>0</v>
      </c>
      <c r="N156" s="14">
        <f>VLOOKUP(D156,'[1]Inv Sem 23 pzas '!A:F,3,FALSE)/1000</f>
        <v>0</v>
      </c>
      <c r="O156" s="14">
        <f>VLOOKUP(D156,'[1]Inv Sem 23 pzas '!A:F,4,FALSE)/1000</f>
        <v>38.729999999999997</v>
      </c>
      <c r="P156" s="14">
        <f>VLOOKUP(D156,'[1]Inv Sem 23 pzas '!A:F,5,FALSE)</f>
        <v>0</v>
      </c>
      <c r="Q156" s="14">
        <f>VLOOKUP(D156,'[1]Inv Sem 23 pzas '!A:F,6,FALSE)/1000</f>
        <v>54.5</v>
      </c>
      <c r="R156" s="13">
        <f t="shared" si="62"/>
        <v>93.22999999999999</v>
      </c>
      <c r="S156" s="12">
        <f t="shared" si="63"/>
        <v>5.517351399999999</v>
      </c>
      <c r="T156" s="11">
        <f t="shared" si="64"/>
        <v>0</v>
      </c>
      <c r="U156" s="11">
        <f t="shared" si="65"/>
        <v>0</v>
      </c>
      <c r="V156" s="11">
        <f t="shared" si="66"/>
        <v>6.9113591382498939E-3</v>
      </c>
      <c r="W156" s="11">
        <f t="shared" si="67"/>
        <v>0</v>
      </c>
      <c r="X156" s="11">
        <f t="shared" si="68"/>
        <v>9.725511826352163E-3</v>
      </c>
      <c r="Y156" s="11">
        <f t="shared" si="75"/>
        <v>0</v>
      </c>
      <c r="Z156" s="9">
        <f t="shared" si="69"/>
        <v>1.6636870964602056E-2</v>
      </c>
      <c r="AA156" s="9">
        <f t="shared" si="70"/>
        <v>2.2857142857142856</v>
      </c>
      <c r="AB156" s="10">
        <f t="shared" si="71"/>
        <v>758.02047999999991</v>
      </c>
      <c r="AC156" s="9">
        <f t="shared" si="72"/>
        <v>-2.2690774147496837</v>
      </c>
      <c r="AD156" s="8">
        <f t="shared" si="73"/>
        <v>-12715.497272727274</v>
      </c>
      <c r="AE156" s="7">
        <f t="shared" si="74"/>
        <v>-752.50312860000008</v>
      </c>
    </row>
    <row r="157" spans="1:31" x14ac:dyDescent="0.25">
      <c r="A157" s="22">
        <f t="shared" ca="1" si="61"/>
        <v>46182</v>
      </c>
      <c r="B157" s="21" t="s">
        <v>2</v>
      </c>
      <c r="C157" s="20" t="s">
        <v>1</v>
      </c>
      <c r="D157" s="4" t="s">
        <v>7</v>
      </c>
      <c r="E157" s="3" t="str">
        <f>VLOOKUP(D157,'[1]ANALISIS (NEW)'!C:E,3,FALSE)</f>
        <v>Label - A/C 3M 7874 Thermal Polyeste</v>
      </c>
      <c r="F157" s="19" t="str">
        <f>VLOOKUP(D157,'[1]ANALISIS (NEW)'!C:AX,48,FALSE)</f>
        <v>GENERAL LABELS AND PRINT</v>
      </c>
      <c r="G157" s="15" t="str">
        <f>VLOOKUP(D:D,'[1]ANALISIS (NEW)'!C:BY,75,FALSE)</f>
        <v>EA</v>
      </c>
      <c r="H157" s="18" t="str">
        <f>VLOOKUP(D157,'[1]ANALISIS (NEW)'!C:BF,49,FALSE)</f>
        <v xml:space="preserve">US </v>
      </c>
      <c r="I157" s="17">
        <f>VLOOKUP(D157,'[1]ANALISIS (NEW)'!C:BF,50,FALSE)</f>
        <v>9</v>
      </c>
      <c r="J157" s="16">
        <f>VLOOKUP(D157,'[1]ANALISIS (NEW)'!C:BG,57,FALSE)</f>
        <v>5.9179999999999996E-2</v>
      </c>
      <c r="K157" s="15">
        <f>VLOOKUP(D157,'[1]ANALISIS (NEW)'!C:BF,56,FALSE)</f>
        <v>6001.727272727273</v>
      </c>
      <c r="L157" s="14">
        <v>0</v>
      </c>
      <c r="M157" s="14">
        <f>VLOOKUP(D157,'[1]Inv Sem 23 pzas '!A:F,2,FALSE)/1000</f>
        <v>0</v>
      </c>
      <c r="N157" s="14">
        <f>VLOOKUP(D157,'[1]Inv Sem 23 pzas '!A:F,3,FALSE)/1000</f>
        <v>0</v>
      </c>
      <c r="O157" s="14">
        <f>VLOOKUP(D157,'[1]Inv Sem 23 pzas '!A:F,4,FALSE)/1000</f>
        <v>56.252000000000002</v>
      </c>
      <c r="P157" s="14">
        <f>VLOOKUP(D157,'[1]Inv Sem 23 pzas '!A:F,5,FALSE)</f>
        <v>0</v>
      </c>
      <c r="Q157" s="14">
        <f>VLOOKUP(D157,'[1]Inv Sem 23 pzas '!A:F,6,FALSE)/1000</f>
        <v>100</v>
      </c>
      <c r="R157" s="13">
        <f t="shared" si="62"/>
        <v>156.25200000000001</v>
      </c>
      <c r="S157" s="12">
        <f t="shared" si="63"/>
        <v>9.2469933599999994</v>
      </c>
      <c r="T157" s="11">
        <f t="shared" si="64"/>
        <v>0</v>
      </c>
      <c r="U157" s="11">
        <f t="shared" si="65"/>
        <v>0</v>
      </c>
      <c r="V157" s="11">
        <f t="shared" si="66"/>
        <v>9.3726351504869812E-3</v>
      </c>
      <c r="W157" s="11">
        <f t="shared" si="67"/>
        <v>0</v>
      </c>
      <c r="X157" s="11">
        <f t="shared" si="68"/>
        <v>1.6661870067707779E-2</v>
      </c>
      <c r="Y157" s="11">
        <f t="shared" si="75"/>
        <v>0</v>
      </c>
      <c r="Z157" s="9">
        <f t="shared" si="69"/>
        <v>2.603450521819476E-2</v>
      </c>
      <c r="AA157" s="9">
        <f t="shared" si="70"/>
        <v>2.2857142857142856</v>
      </c>
      <c r="AB157" s="10">
        <f t="shared" si="71"/>
        <v>811.8450742857143</v>
      </c>
      <c r="AC157" s="9">
        <f t="shared" si="72"/>
        <v>-2.2596797804960906</v>
      </c>
      <c r="AD157" s="8">
        <f t="shared" si="73"/>
        <v>-13561.981766233765</v>
      </c>
      <c r="AE157" s="7">
        <f t="shared" si="74"/>
        <v>-802.59808092571416</v>
      </c>
    </row>
    <row r="158" spans="1:31" x14ac:dyDescent="0.25">
      <c r="A158" s="22">
        <f t="shared" ca="1" si="61"/>
        <v>46182</v>
      </c>
      <c r="B158" s="21" t="s">
        <v>2</v>
      </c>
      <c r="C158" s="20" t="s">
        <v>1</v>
      </c>
      <c r="D158" s="4" t="s">
        <v>6</v>
      </c>
      <c r="E158" s="3" t="str">
        <f>VLOOKUP(D158,'[1]ANALISIS (NEW)'!C:E,3,FALSE)</f>
        <v>Label - A/C 3M 7874 Blue (PANTONE PR</v>
      </c>
      <c r="F158" s="19" t="str">
        <f>VLOOKUP(D158,'[1]ANALISIS (NEW)'!C:AX,48,FALSE)</f>
        <v>GENERAL LABELS AND PRINT</v>
      </c>
      <c r="G158" s="15" t="str">
        <f>VLOOKUP(D:D,'[1]ANALISIS (NEW)'!C:BY,75,FALSE)</f>
        <v>EA</v>
      </c>
      <c r="H158" s="18" t="str">
        <f>VLOOKUP(D158,'[1]ANALISIS (NEW)'!C:BF,49,FALSE)</f>
        <v xml:space="preserve">US </v>
      </c>
      <c r="I158" s="17">
        <f>VLOOKUP(D158,'[1]ANALISIS (NEW)'!C:BF,50,FALSE)</f>
        <v>9</v>
      </c>
      <c r="J158" s="16">
        <f>VLOOKUP(D158,'[1]ANALISIS (NEW)'!C:BG,57,FALSE)</f>
        <v>5.1999999999999998E-2</v>
      </c>
      <c r="K158" s="15">
        <f>VLOOKUP(D158,'[1]ANALISIS (NEW)'!C:BF,56,FALSE)</f>
        <v>8714.454545454546</v>
      </c>
      <c r="L158" s="14">
        <v>0</v>
      </c>
      <c r="M158" s="14">
        <f>VLOOKUP(D158,'[1]Inv Sem 23 pzas '!A:F,2,FALSE)/1000</f>
        <v>0</v>
      </c>
      <c r="N158" s="14">
        <f>VLOOKUP(D158,'[1]Inv Sem 23 pzas '!A:F,3,FALSE)/1000</f>
        <v>0</v>
      </c>
      <c r="O158" s="14">
        <f>VLOOKUP(D158,'[1]Inv Sem 23 pzas '!A:F,4,FALSE)/1000</f>
        <v>46.427999999999997</v>
      </c>
      <c r="P158" s="14">
        <f>VLOOKUP(D158,'[1]Inv Sem 23 pzas '!A:F,5,FALSE)</f>
        <v>0</v>
      </c>
      <c r="Q158" s="14">
        <f>VLOOKUP(D158,'[1]Inv Sem 23 pzas '!A:F,6,FALSE)/1000</f>
        <v>86</v>
      </c>
      <c r="R158" s="13">
        <f t="shared" si="62"/>
        <v>132.428</v>
      </c>
      <c r="S158" s="12">
        <f t="shared" si="63"/>
        <v>6.8862559999999995</v>
      </c>
      <c r="T158" s="11">
        <f t="shared" si="64"/>
        <v>0</v>
      </c>
      <c r="U158" s="11">
        <f t="shared" si="65"/>
        <v>0</v>
      </c>
      <c r="V158" s="11">
        <f t="shared" si="66"/>
        <v>5.3277000594623347E-3</v>
      </c>
      <c r="W158" s="11">
        <f t="shared" si="67"/>
        <v>0</v>
      </c>
      <c r="X158" s="11">
        <f t="shared" si="68"/>
        <v>9.8686612628965456E-3</v>
      </c>
      <c r="Y158" s="11">
        <f t="shared" si="75"/>
        <v>0</v>
      </c>
      <c r="Z158" s="9">
        <f t="shared" si="69"/>
        <v>1.5196361322358881E-2</v>
      </c>
      <c r="AA158" s="9">
        <f t="shared" si="70"/>
        <v>2.2857142857142856</v>
      </c>
      <c r="AB158" s="10">
        <f t="shared" si="71"/>
        <v>1035.7751688311689</v>
      </c>
      <c r="AC158" s="9">
        <f t="shared" si="72"/>
        <v>-2.2705179243919269</v>
      </c>
      <c r="AD158" s="8">
        <f t="shared" si="73"/>
        <v>-19786.325246753247</v>
      </c>
      <c r="AE158" s="7">
        <f t="shared" si="74"/>
        <v>-1028.8889128311689</v>
      </c>
    </row>
    <row r="159" spans="1:31" x14ac:dyDescent="0.25">
      <c r="A159" s="22">
        <f t="shared" ca="1" si="61"/>
        <v>46182</v>
      </c>
      <c r="B159" s="21" t="s">
        <v>2</v>
      </c>
      <c r="C159" s="20" t="s">
        <v>1</v>
      </c>
      <c r="D159" s="4" t="s">
        <v>5</v>
      </c>
      <c r="E159" s="3" t="str">
        <f>VLOOKUP(D159,'[1]ANALISIS (NEW)'!C:E,3,FALSE)</f>
        <v>BRKT/CLIP-A/C LINE</v>
      </c>
      <c r="F159" s="19" t="str">
        <f>VLOOKUP(D159,'[1]ANALISIS (NEW)'!C:AX,48,FALSE)</f>
        <v>FRANKLIN FASTENER CO</v>
      </c>
      <c r="G159" s="15" t="str">
        <f>VLOOKUP(D:D,'[1]ANALISIS (NEW)'!C:BY,75,FALSE)</f>
        <v>EA</v>
      </c>
      <c r="H159" s="18" t="str">
        <f>VLOOKUP(D159,'[1]ANALISIS (NEW)'!C:BF,49,FALSE)</f>
        <v xml:space="preserve">US </v>
      </c>
      <c r="I159" s="17">
        <f>VLOOKUP(D159,'[1]ANALISIS (NEW)'!C:BF,50,FALSE)</f>
        <v>9</v>
      </c>
      <c r="J159" s="16">
        <f>VLOOKUP(D159,'[1]ANALISIS (NEW)'!C:BG,57,FALSE)</f>
        <v>0.59250000000000003</v>
      </c>
      <c r="K159" s="15">
        <f>VLOOKUP(D159,'[1]ANALISIS (NEW)'!C:BF,56,FALSE)</f>
        <v>7420.363636363636</v>
      </c>
      <c r="L159" s="14">
        <v>14400</v>
      </c>
      <c r="M159" s="14">
        <f>VLOOKUP(D159,'[1]Inv Sem 23 pzas '!A:F,2,FALSE)/1000</f>
        <v>0</v>
      </c>
      <c r="N159" s="14">
        <f>VLOOKUP(D159,'[1]Inv Sem 23 pzas '!A:F,3,FALSE)/1000</f>
        <v>13.15</v>
      </c>
      <c r="O159" s="14">
        <f>VLOOKUP(D159,'[1]Inv Sem 23 pzas '!A:F,4,FALSE)/1000</f>
        <v>3.601</v>
      </c>
      <c r="P159" s="14">
        <f>VLOOKUP(D159,'[1]Inv Sem 23 pzas '!A:F,5,FALSE)</f>
        <v>0</v>
      </c>
      <c r="Q159" s="14">
        <f>VLOOKUP(D159,'[1]Inv Sem 23 pzas '!A:F,6,FALSE)/1000</f>
        <v>11</v>
      </c>
      <c r="R159" s="13">
        <f t="shared" si="62"/>
        <v>14427.751</v>
      </c>
      <c r="S159" s="12">
        <f t="shared" si="63"/>
        <v>8548.4424675000009</v>
      </c>
      <c r="T159" s="11">
        <f t="shared" si="64"/>
        <v>0</v>
      </c>
      <c r="U159" s="11">
        <f t="shared" si="65"/>
        <v>1.7721503479368815E-3</v>
      </c>
      <c r="V159" s="11">
        <f t="shared" si="66"/>
        <v>4.8528619033617567E-4</v>
      </c>
      <c r="W159" s="11">
        <f t="shared" si="67"/>
        <v>0</v>
      </c>
      <c r="X159" s="11">
        <f t="shared" si="68"/>
        <v>1.4824071351563267E-3</v>
      </c>
      <c r="Y159" s="11">
        <f t="shared" si="75"/>
        <v>1.9406057042046458</v>
      </c>
      <c r="Z159" s="9">
        <f t="shared" si="69"/>
        <v>1.9443455478780751</v>
      </c>
      <c r="AA159" s="9">
        <f t="shared" si="70"/>
        <v>2.2857142857142856</v>
      </c>
      <c r="AB159" s="10">
        <f t="shared" si="71"/>
        <v>10049.292467532467</v>
      </c>
      <c r="AC159" s="9">
        <f t="shared" si="72"/>
        <v>-0.34136873783621047</v>
      </c>
      <c r="AD159" s="8">
        <f t="shared" si="73"/>
        <v>-2533.0801688311676</v>
      </c>
      <c r="AE159" s="7">
        <f t="shared" si="74"/>
        <v>-1500.8500000324668</v>
      </c>
    </row>
    <row r="160" spans="1:31" x14ac:dyDescent="0.25">
      <c r="A160" s="22">
        <f t="shared" ca="1" si="61"/>
        <v>46182</v>
      </c>
      <c r="B160" s="21" t="s">
        <v>2</v>
      </c>
      <c r="C160" s="20" t="s">
        <v>1</v>
      </c>
      <c r="D160" s="4" t="s">
        <v>4</v>
      </c>
      <c r="E160" s="3" t="str">
        <f>VLOOKUP(D160,'[1]ANALISIS (NEW)'!C:E,3,FALSE)</f>
        <v>RIVET BLIND 3.2X6.5 STL</v>
      </c>
      <c r="F160" s="19" t="str">
        <f>VLOOKUP(D160,'[1]ANALISIS (NEW)'!C:AX,48,FALSE)</f>
        <v>EMHART TEKNOLOGIES LLC</v>
      </c>
      <c r="G160" s="15" t="str">
        <f>VLOOKUP(D:D,'[1]ANALISIS (NEW)'!C:BY,75,FALSE)</f>
        <v>EA</v>
      </c>
      <c r="H160" s="18" t="str">
        <f>VLOOKUP(D160,'[1]ANALISIS (NEW)'!C:BF,49,FALSE)</f>
        <v xml:space="preserve">ES </v>
      </c>
      <c r="I160" s="17">
        <f>VLOOKUP(D160,'[1]ANALISIS (NEW)'!C:BF,50,FALSE)</f>
        <v>7.4285714285714288</v>
      </c>
      <c r="J160" s="16">
        <f>VLOOKUP(D160,'[1]ANALISIS (NEW)'!C:BG,57,FALSE)</f>
        <v>2.3620000000000002E-2</v>
      </c>
      <c r="K160" s="15">
        <f>VLOOKUP(D160,'[1]ANALISIS (NEW)'!C:BF,56,FALSE)</f>
        <v>39047.727272727272</v>
      </c>
      <c r="L160" s="14">
        <v>0</v>
      </c>
      <c r="M160" s="14">
        <f>VLOOKUP(D160,'[1]Inv Sem 23 pzas '!A:F,2,FALSE)/1000</f>
        <v>0</v>
      </c>
      <c r="N160" s="14">
        <f>VLOOKUP(D160,'[1]Inv Sem 23 pzas '!A:F,3,FALSE)/1000</f>
        <v>0</v>
      </c>
      <c r="O160" s="14">
        <f>VLOOKUP(D160,'[1]Inv Sem 23 pzas '!A:F,4,FALSE)/1000</f>
        <v>19.423999999999999</v>
      </c>
      <c r="P160" s="14">
        <f>VLOOKUP(D160,'[1]Inv Sem 23 pzas '!A:F,5,FALSE)</f>
        <v>0</v>
      </c>
      <c r="Q160" s="14">
        <f>VLOOKUP(D160,'[1]Inv Sem 23 pzas '!A:F,6,FALSE)/1000</f>
        <v>155</v>
      </c>
      <c r="R160" s="13">
        <f t="shared" si="62"/>
        <v>174.42400000000001</v>
      </c>
      <c r="S160" s="12">
        <f t="shared" si="63"/>
        <v>4.1198948800000004</v>
      </c>
      <c r="T160" s="11">
        <f t="shared" si="64"/>
        <v>0</v>
      </c>
      <c r="U160" s="11">
        <f t="shared" si="65"/>
        <v>0</v>
      </c>
      <c r="V160" s="11">
        <f t="shared" si="66"/>
        <v>4.9744252371806063E-4</v>
      </c>
      <c r="W160" s="11">
        <f t="shared" si="67"/>
        <v>0</v>
      </c>
      <c r="X160" s="11">
        <f t="shared" si="68"/>
        <v>3.9695011931785108E-3</v>
      </c>
      <c r="Y160" s="11">
        <f t="shared" si="75"/>
        <v>0</v>
      </c>
      <c r="Z160" s="9">
        <f t="shared" si="69"/>
        <v>4.4669437168965717E-3</v>
      </c>
      <c r="AA160" s="9">
        <f t="shared" si="70"/>
        <v>2.0612244897959182</v>
      </c>
      <c r="AB160" s="10">
        <f t="shared" si="71"/>
        <v>1901.0824313543601</v>
      </c>
      <c r="AC160" s="9">
        <f t="shared" si="72"/>
        <v>-2.0567575460790217</v>
      </c>
      <c r="AD160" s="8">
        <f t="shared" si="73"/>
        <v>-80311.707725417436</v>
      </c>
      <c r="AE160" s="7">
        <f t="shared" si="74"/>
        <v>-1896.9625364743599</v>
      </c>
    </row>
    <row r="161" spans="1:31" x14ac:dyDescent="0.25">
      <c r="A161" s="22">
        <f t="shared" ca="1" si="61"/>
        <v>46182</v>
      </c>
      <c r="B161" s="21" t="s">
        <v>2</v>
      </c>
      <c r="C161" s="20" t="s">
        <v>1</v>
      </c>
      <c r="D161" s="4" t="s">
        <v>3</v>
      </c>
      <c r="E161" s="3" t="str">
        <f>VLOOKUP(D161,'[1]ANALISIS (NEW)'!C:E,3,FALSE)</f>
        <v>BRKT/CLIP-A/C LINE</v>
      </c>
      <c r="F161" s="19" t="str">
        <f>VLOOKUP(D161,'[1]ANALISIS (NEW)'!C:AX,48,FALSE)</f>
        <v>PRECISE TOOL &amp; DIE LIMIT</v>
      </c>
      <c r="G161" s="15" t="str">
        <f>VLOOKUP(D:D,'[1]ANALISIS (NEW)'!C:BY,75,FALSE)</f>
        <v>EA</v>
      </c>
      <c r="H161" s="18" t="str">
        <f>VLOOKUP(D161,'[1]ANALISIS (NEW)'!C:BF,49,FALSE)</f>
        <v xml:space="preserve">CA </v>
      </c>
      <c r="I161" s="17">
        <f>VLOOKUP(D161,'[1]ANALISIS (NEW)'!C:BF,50,FALSE)</f>
        <v>11</v>
      </c>
      <c r="J161" s="16">
        <f>VLOOKUP(D161,'[1]ANALISIS (NEW)'!C:BG,57,FALSE)</f>
        <v>0.80920000000000003</v>
      </c>
      <c r="K161" s="15">
        <f>VLOOKUP(D161,'[1]ANALISIS (NEW)'!C:BF,56,FALSE)</f>
        <v>2177.6363636363635</v>
      </c>
      <c r="L161" s="14">
        <v>0</v>
      </c>
      <c r="M161" s="14">
        <f>VLOOKUP(D161,'[1]Inv Sem 23 pzas '!A:F,2,FALSE)</f>
        <v>0</v>
      </c>
      <c r="N161" s="14">
        <f>VLOOKUP(D161,'[1]Inv Sem 23 pzas '!A:F,3,FALSE)</f>
        <v>0</v>
      </c>
      <c r="O161" s="14">
        <f>VLOOKUP(D161,'[1]Inv Sem 23 pzas '!A:F,4,FALSE)</f>
        <v>685</v>
      </c>
      <c r="P161" s="14">
        <f>VLOOKUP(D161,'[1]Inv Sem 23 pzas '!A:F,5,FALSE)</f>
        <v>0</v>
      </c>
      <c r="Q161" s="14">
        <f>VLOOKUP(D161,'[1]Inv Sem 23 pzas '!A:F,6,FALSE)</f>
        <v>2000</v>
      </c>
      <c r="R161" s="13">
        <f t="shared" si="62"/>
        <v>2685</v>
      </c>
      <c r="S161" s="12">
        <f t="shared" si="63"/>
        <v>2172.7020000000002</v>
      </c>
      <c r="T161" s="11">
        <f t="shared" si="64"/>
        <v>0</v>
      </c>
      <c r="U161" s="11">
        <f t="shared" si="65"/>
        <v>0</v>
      </c>
      <c r="V161" s="11">
        <f t="shared" si="66"/>
        <v>0.31456124238123073</v>
      </c>
      <c r="W161" s="11">
        <f t="shared" si="67"/>
        <v>0</v>
      </c>
      <c r="X161" s="11">
        <f t="shared" si="68"/>
        <v>0.91842698505468823</v>
      </c>
      <c r="Y161" s="11">
        <f t="shared" si="75"/>
        <v>0</v>
      </c>
      <c r="Z161" s="9">
        <f t="shared" si="69"/>
        <v>1.232988227435919</v>
      </c>
      <c r="AA161" s="9">
        <f t="shared" si="70"/>
        <v>2.5714285714285716</v>
      </c>
      <c r="AB161" s="10">
        <f t="shared" si="71"/>
        <v>4531.2257454545461</v>
      </c>
      <c r="AC161" s="9">
        <f t="shared" si="72"/>
        <v>-1.3384403439926527</v>
      </c>
      <c r="AD161" s="8">
        <f t="shared" si="73"/>
        <v>-2914.6363636363635</v>
      </c>
      <c r="AE161" s="7">
        <f t="shared" si="74"/>
        <v>-2358.5237454545454</v>
      </c>
    </row>
    <row r="162" spans="1:31" x14ac:dyDescent="0.25">
      <c r="A162" s="22">
        <f t="shared" ca="1" si="61"/>
        <v>46182</v>
      </c>
      <c r="B162" s="21" t="s">
        <v>2</v>
      </c>
      <c r="C162" s="20" t="s">
        <v>1</v>
      </c>
      <c r="D162" s="4" t="s">
        <v>0</v>
      </c>
      <c r="E162" s="3" t="str">
        <f>VLOOKUP(D162,'[1]ANALISIS (NEW)'!C:E,3,FALSE)</f>
        <v>SLV-HTR HOS PROT</v>
      </c>
      <c r="F162" s="19" t="str">
        <f>VLOOKUP(D162,'[1]ANALISIS (NEW)'!C:AX,48,FALSE)</f>
        <v>TYCO ELECTRONICS</v>
      </c>
      <c r="G162" s="15" t="str">
        <f>VLOOKUP(D:D,'[1]ANALISIS (NEW)'!C:BY,75,FALSE)</f>
        <v>MM</v>
      </c>
      <c r="H162" s="18" t="str">
        <f>VLOOKUP(D162,'[1]ANALISIS (NEW)'!C:BF,49,FALSE)</f>
        <v xml:space="preserve">US </v>
      </c>
      <c r="I162" s="17">
        <f>VLOOKUP(D162,'[1]ANALISIS (NEW)'!C:BF,50,FALSE)</f>
        <v>9</v>
      </c>
      <c r="J162" s="16">
        <f>VLOOKUP(D162,'[1]ANALISIS (NEW)'!C:BG,57,FALSE)*1000</f>
        <v>1.1000000000000001</v>
      </c>
      <c r="K162" s="15">
        <f>VLOOKUP(D162,'[1]ANALISIS (NEW)'!C:BF,56,FALSE)</f>
        <v>5569.4027272727271</v>
      </c>
      <c r="L162" s="14">
        <v>0</v>
      </c>
      <c r="M162" s="14">
        <f>VLOOKUP(D162,'[1]Inv Sem 23 pzas '!A:F,2,FALSE)/1000</f>
        <v>0</v>
      </c>
      <c r="N162" s="14">
        <f>VLOOKUP(D162,'[1]Inv Sem 23 pzas '!A:F,3,FALSE)/1000</f>
        <v>0</v>
      </c>
      <c r="O162" s="14">
        <f>VLOOKUP(D162,'[1]Inv Sem 23 pzas '!A:F,4,FALSE)/1000</f>
        <v>2025.1089999999999</v>
      </c>
      <c r="P162" s="14">
        <f>VLOOKUP(D162,'[1]Inv Sem 23 pzas '!A:F,5,FALSE)</f>
        <v>0</v>
      </c>
      <c r="Q162" s="14">
        <f>VLOOKUP(D162,'[1]Inv Sem 23 pzas '!A:F,6,FALSE)/1000</f>
        <v>5400</v>
      </c>
      <c r="R162" s="13">
        <f t="shared" ref="R162:R193" si="76">SUM(L162:Q162)</f>
        <v>7425.1090000000004</v>
      </c>
      <c r="S162" s="12">
        <f t="shared" ref="S162:S193" si="77">J162*R162</f>
        <v>8167.6199000000015</v>
      </c>
      <c r="T162" s="11">
        <f t="shared" si="64"/>
        <v>0</v>
      </c>
      <c r="U162" s="11">
        <f t="shared" si="65"/>
        <v>0</v>
      </c>
      <c r="V162" s="11">
        <f t="shared" si="66"/>
        <v>0.36361331711267225</v>
      </c>
      <c r="W162" s="11">
        <f t="shared" si="67"/>
        <v>0</v>
      </c>
      <c r="X162" s="11">
        <f t="shared" si="68"/>
        <v>0.96958332238335332</v>
      </c>
      <c r="Y162" s="11">
        <f t="shared" si="75"/>
        <v>0</v>
      </c>
      <c r="Z162" s="9">
        <f t="shared" ref="Z162:Z193" si="78">SUM(T162:Y162)</f>
        <v>1.3331966394960255</v>
      </c>
      <c r="AA162" s="9">
        <f t="shared" si="70"/>
        <v>2.2857142857142856</v>
      </c>
      <c r="AB162" s="10">
        <f t="shared" ref="AB162:AB193" si="79">AA162*K162*J162</f>
        <v>14003.069714285713</v>
      </c>
      <c r="AC162" s="9">
        <f t="shared" si="72"/>
        <v>-0.95251764621826007</v>
      </c>
      <c r="AD162" s="8">
        <f t="shared" ref="AD162:AD193" si="80">AC162*K162</f>
        <v>-5304.9543766233764</v>
      </c>
      <c r="AE162" s="7">
        <f t="shared" ref="AE162:AE193" si="81">AD162*J162</f>
        <v>-5835.4498142857146</v>
      </c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sem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Armenta</dc:creator>
  <cp:lastModifiedBy>Erik Armenta</cp:lastModifiedBy>
  <dcterms:created xsi:type="dcterms:W3CDTF">2026-06-09T14:44:35Z</dcterms:created>
  <dcterms:modified xsi:type="dcterms:W3CDTF">2026-06-09T15:20:10Z</dcterms:modified>
</cp:coreProperties>
</file>